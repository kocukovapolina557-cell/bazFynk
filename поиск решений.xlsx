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vprim\Desktop\"/>
    </mc:Choice>
  </mc:AlternateContent>
  <xr:revisionPtr revIDLastSave="0" documentId="13_ncr:1_{ACE2FFDC-1ECB-49E4-9457-3F9E0763694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Опт.План" sheetId="2" r:id="rId1"/>
    <sheet name="Шт.Расписание" sheetId="3" r:id="rId2"/>
    <sheet name="Тр.Задача" sheetId="4" r:id="rId3"/>
    <sheet name="Инвестиции" sheetId="5" r:id="rId4"/>
    <sheet name="Назначения" sheetId="6" r:id="rId5"/>
  </sheets>
  <definedNames>
    <definedName name="solver_adj" localSheetId="3" hidden="1">Инвестиции!$G$6:$G$13</definedName>
    <definedName name="solver_adj" localSheetId="4" hidden="1">Назначения!$C$15:$F$18</definedName>
    <definedName name="solver_adj" localSheetId="0" hidden="1">Опт.План!$B$18:$D$19</definedName>
    <definedName name="solver_adj" localSheetId="2" hidden="1">Тр.Задача!$C$15:$G$18</definedName>
    <definedName name="solver_adj" localSheetId="1" hidden="1">Шт.Расписание!$F$5:$F$11</definedName>
    <definedName name="solver_cvg" localSheetId="3" hidden="1">0.0001</definedName>
    <definedName name="solver_cvg" localSheetId="4" hidden="1">0.0001</definedName>
    <definedName name="solver_cvg" localSheetId="0" hidden="1">0.0001</definedName>
    <definedName name="solver_cvg" localSheetId="2" hidden="1">0.0001</definedName>
    <definedName name="solver_cvg" localSheetId="1" hidden="1">0.0001</definedName>
    <definedName name="solver_drv" localSheetId="3" hidden="1">1</definedName>
    <definedName name="solver_drv" localSheetId="4" hidden="1">1</definedName>
    <definedName name="solver_drv" localSheetId="0" hidden="1">1</definedName>
    <definedName name="solver_drv" localSheetId="2" hidden="1">1</definedName>
    <definedName name="solver_drv" localSheetId="1" hidden="1">1</definedName>
    <definedName name="solver_eng" localSheetId="3" hidden="1">1</definedName>
    <definedName name="solver_eng" localSheetId="4" hidden="1">1</definedName>
    <definedName name="solver_eng" localSheetId="0" hidden="1">1</definedName>
    <definedName name="solver_eng" localSheetId="2" hidden="1">1</definedName>
    <definedName name="solver_eng" localSheetId="1" hidden="1">2</definedName>
    <definedName name="solver_est" localSheetId="3" hidden="1">1</definedName>
    <definedName name="solver_est" localSheetId="4" hidden="1">1</definedName>
    <definedName name="solver_est" localSheetId="0" hidden="1">1</definedName>
    <definedName name="solver_est" localSheetId="2" hidden="1">1</definedName>
    <definedName name="solver_est" localSheetId="1" hidden="1">1</definedName>
    <definedName name="solver_itr" localSheetId="3" hidden="1">2147483647</definedName>
    <definedName name="solver_itr" localSheetId="4" hidden="1">2147483647</definedName>
    <definedName name="solver_itr" localSheetId="0" hidden="1">2147483647</definedName>
    <definedName name="solver_itr" localSheetId="2" hidden="1">2147483647</definedName>
    <definedName name="solver_itr" localSheetId="1" hidden="1">2147483647</definedName>
    <definedName name="solver_lhs0" localSheetId="3" hidden="1">Инвестиции!$G$6:$G$13</definedName>
    <definedName name="solver_lhs1" localSheetId="3" hidden="1">Инвестиции!$B$6:$B$13</definedName>
    <definedName name="solver_lhs1" localSheetId="4" hidden="1">Назначения!$C$15:$F$18</definedName>
    <definedName name="solver_lhs1" localSheetId="0" hidden="1">Опт.План!$B$18:$D$19</definedName>
    <definedName name="solver_lhs1" localSheetId="2" hidden="1">Тр.Задача!$C$15:$G$18</definedName>
    <definedName name="solver_lhs1" localSheetId="1" hidden="1">Шт.Расписание!$E$5:$E$11</definedName>
    <definedName name="solver_lhs2" localSheetId="3" hidden="1">Инвестиции!$G$6:$G$13</definedName>
    <definedName name="solver_lhs2" localSheetId="4" hidden="1">Назначения!$C$19:$F$19</definedName>
    <definedName name="solver_lhs2" localSheetId="0" hidden="1">Опт.План!$B$20:$D$20</definedName>
    <definedName name="solver_lhs2" localSheetId="2" hidden="1">Тр.Задача!$C$19:$G$19</definedName>
    <definedName name="solver_lhs2" localSheetId="1" hidden="1">Шт.Расписание!$F$5:$F$11</definedName>
    <definedName name="solver_lhs3" localSheetId="4" hidden="1">Назначения!$G$15:$G$18</definedName>
    <definedName name="solver_lhs3" localSheetId="2" hidden="1">Тр.Задача!$H$15:$H$18</definedName>
    <definedName name="solver_lhs4" localSheetId="4" hidden="1">Назначения!$H$15:$H$18</definedName>
    <definedName name="solver_mip" localSheetId="3" hidden="1">2147483647</definedName>
    <definedName name="solver_mip" localSheetId="4" hidden="1">2147483647</definedName>
    <definedName name="solver_mip" localSheetId="0" hidden="1">2147483647</definedName>
    <definedName name="solver_mip" localSheetId="2" hidden="1">2147483647</definedName>
    <definedName name="solver_mip" localSheetId="1" hidden="1">2147483647</definedName>
    <definedName name="solver_mni" localSheetId="3" hidden="1">30</definedName>
    <definedName name="solver_mni" localSheetId="4" hidden="1">30</definedName>
    <definedName name="solver_mni" localSheetId="0" hidden="1">30</definedName>
    <definedName name="solver_mni" localSheetId="2" hidden="1">30</definedName>
    <definedName name="solver_mni" localSheetId="1" hidden="1">30</definedName>
    <definedName name="solver_mrt" localSheetId="3" hidden="1">0.075</definedName>
    <definedName name="solver_mrt" localSheetId="4" hidden="1">0.075</definedName>
    <definedName name="solver_mrt" localSheetId="0" hidden="1">0.075</definedName>
    <definedName name="solver_mrt" localSheetId="2" hidden="1">0.075</definedName>
    <definedName name="solver_mrt" localSheetId="1" hidden="1">0.075</definedName>
    <definedName name="solver_msl" localSheetId="3" hidden="1">2</definedName>
    <definedName name="solver_msl" localSheetId="4" hidden="1">2</definedName>
    <definedName name="solver_msl" localSheetId="0" hidden="1">2</definedName>
    <definedName name="solver_msl" localSheetId="2" hidden="1">2</definedName>
    <definedName name="solver_msl" localSheetId="1" hidden="1">2</definedName>
    <definedName name="solver_neg" localSheetId="3" hidden="1">1</definedName>
    <definedName name="solver_neg" localSheetId="4" hidden="1">1</definedName>
    <definedName name="solver_neg" localSheetId="0" hidden="1">1</definedName>
    <definedName name="solver_neg" localSheetId="2" hidden="1">1</definedName>
    <definedName name="solver_neg" localSheetId="1" hidden="1">1</definedName>
    <definedName name="solver_nod" localSheetId="3" hidden="1">2147483647</definedName>
    <definedName name="solver_nod" localSheetId="4" hidden="1">2147483647</definedName>
    <definedName name="solver_nod" localSheetId="0" hidden="1">2147483647</definedName>
    <definedName name="solver_nod" localSheetId="2" hidden="1">2147483647</definedName>
    <definedName name="solver_nod" localSheetId="1" hidden="1">2147483647</definedName>
    <definedName name="solver_num" localSheetId="3" hidden="1">2</definedName>
    <definedName name="solver_num" localSheetId="4" hidden="1">4</definedName>
    <definedName name="solver_num" localSheetId="0" hidden="1">2</definedName>
    <definedName name="solver_num" localSheetId="2" hidden="1">3</definedName>
    <definedName name="solver_num" localSheetId="1" hidden="1">2</definedName>
    <definedName name="solver_nwt" localSheetId="3" hidden="1">1</definedName>
    <definedName name="solver_nwt" localSheetId="4" hidden="1">1</definedName>
    <definedName name="solver_nwt" localSheetId="0" hidden="1">1</definedName>
    <definedName name="solver_nwt" localSheetId="2" hidden="1">1</definedName>
    <definedName name="solver_nwt" localSheetId="1" hidden="1">1</definedName>
    <definedName name="solver_opt" localSheetId="3" hidden="1">Инвестиции!$J$10</definedName>
    <definedName name="solver_opt" localSheetId="4" hidden="1">Назначения!$J$14</definedName>
    <definedName name="solver_opt" localSheetId="0" hidden="1">Опт.План!$G$21</definedName>
    <definedName name="solver_opt" localSheetId="2" hidden="1">Тр.Задача!$K$20</definedName>
    <definedName name="solver_opt" localSheetId="1" hidden="1">Шт.Расписание!$H$14</definedName>
    <definedName name="solver_pre" localSheetId="3" hidden="1">0.000001</definedName>
    <definedName name="solver_pre" localSheetId="4" hidden="1">0.000001</definedName>
    <definedName name="solver_pre" localSheetId="0" hidden="1">0.000001</definedName>
    <definedName name="solver_pre" localSheetId="2" hidden="1">0.000001</definedName>
    <definedName name="solver_pre" localSheetId="1" hidden="1">0.000001</definedName>
    <definedName name="solver_rbv" localSheetId="3" hidden="1">1</definedName>
    <definedName name="solver_rbv" localSheetId="4" hidden="1">1</definedName>
    <definedName name="solver_rbv" localSheetId="0" hidden="1">1</definedName>
    <definedName name="solver_rbv" localSheetId="2" hidden="1">1</definedName>
    <definedName name="solver_rbv" localSheetId="1" hidden="1">1</definedName>
    <definedName name="solver_rel0" localSheetId="3" hidden="1">5</definedName>
    <definedName name="solver_rel1" localSheetId="3" hidden="1">1</definedName>
    <definedName name="solver_rel1" localSheetId="4" hidden="1">4</definedName>
    <definedName name="solver_rel1" localSheetId="0" hidden="1">4</definedName>
    <definedName name="solver_rel1" localSheetId="2" hidden="1">4</definedName>
    <definedName name="solver_rel1" localSheetId="1" hidden="1">3</definedName>
    <definedName name="solver_rel2" localSheetId="3" hidden="1">5</definedName>
    <definedName name="solver_rel2" localSheetId="4" hidden="1">2</definedName>
    <definedName name="solver_rel2" localSheetId="0" hidden="1">1</definedName>
    <definedName name="solver_rel2" localSheetId="2" hidden="1">3</definedName>
    <definedName name="solver_rel2" localSheetId="1" hidden="1">4</definedName>
    <definedName name="solver_rel3" localSheetId="4" hidden="1">2</definedName>
    <definedName name="solver_rel3" localSheetId="2" hidden="1">1</definedName>
    <definedName name="solver_rel4" localSheetId="4" hidden="1">3</definedName>
    <definedName name="solver_rhs0" localSheetId="3" hidden="1">"бинарное"</definedName>
    <definedName name="solver_rhs1" localSheetId="3" hidden="1">Инвестиции!$E$6</definedName>
    <definedName name="solver_rhs1" localSheetId="4" hidden="1">"целое"</definedName>
    <definedName name="solver_rhs1" localSheetId="0" hidden="1">"целое"</definedName>
    <definedName name="solver_rhs1" localSheetId="2" hidden="1">"целое"</definedName>
    <definedName name="solver_rhs1" localSheetId="1" hidden="1">Шт.Расписание!$C$5:$C$11</definedName>
    <definedName name="solver_rhs2" localSheetId="3" hidden="1">"бинарное"</definedName>
    <definedName name="solver_rhs2" localSheetId="4" hidden="1">1</definedName>
    <definedName name="solver_rhs2" localSheetId="0" hidden="1">Опт.План!$B$8:$D$8</definedName>
    <definedName name="solver_rhs2" localSheetId="2" hidden="1">Тр.Задача!$C$11:$G$11</definedName>
    <definedName name="solver_rhs2" localSheetId="1" hidden="1">"целое"</definedName>
    <definedName name="solver_rhs3" localSheetId="4" hidden="1">1</definedName>
    <definedName name="solver_rhs3" localSheetId="2" hidden="1">Тр.Задача!$H$7:$H$10</definedName>
    <definedName name="solver_rhs4" localSheetId="4" hidden="1">Назначения!$I$15</definedName>
    <definedName name="solver_rlx" localSheetId="3" hidden="1">2</definedName>
    <definedName name="solver_rlx" localSheetId="4" hidden="1">2</definedName>
    <definedName name="solver_rlx" localSheetId="0" hidden="1">2</definedName>
    <definedName name="solver_rlx" localSheetId="2" hidden="1">2</definedName>
    <definedName name="solver_rlx" localSheetId="1" hidden="1">2</definedName>
    <definedName name="solver_rsd" localSheetId="3" hidden="1">0</definedName>
    <definedName name="solver_rsd" localSheetId="4" hidden="1">0</definedName>
    <definedName name="solver_rsd" localSheetId="0" hidden="1">0</definedName>
    <definedName name="solver_rsd" localSheetId="2" hidden="1">0</definedName>
    <definedName name="solver_rsd" localSheetId="1" hidden="1">0</definedName>
    <definedName name="solver_scl" localSheetId="3" hidden="1">1</definedName>
    <definedName name="solver_scl" localSheetId="4" hidden="1">1</definedName>
    <definedName name="solver_scl" localSheetId="0" hidden="1">1</definedName>
    <definedName name="solver_scl" localSheetId="2" hidden="1">1</definedName>
    <definedName name="solver_scl" localSheetId="1" hidden="1">1</definedName>
    <definedName name="solver_sho" localSheetId="3" hidden="1">2</definedName>
    <definedName name="solver_sho" localSheetId="4" hidden="1">2</definedName>
    <definedName name="solver_sho" localSheetId="0" hidden="1">2</definedName>
    <definedName name="solver_sho" localSheetId="2" hidden="1">2</definedName>
    <definedName name="solver_sho" localSheetId="1" hidden="1">2</definedName>
    <definedName name="solver_ssz" localSheetId="3" hidden="1">100</definedName>
    <definedName name="solver_ssz" localSheetId="4" hidden="1">100</definedName>
    <definedName name="solver_ssz" localSheetId="0" hidden="1">100</definedName>
    <definedName name="solver_ssz" localSheetId="2" hidden="1">100</definedName>
    <definedName name="solver_ssz" localSheetId="1" hidden="1">100</definedName>
    <definedName name="solver_tim" localSheetId="3" hidden="1">2147483647</definedName>
    <definedName name="solver_tim" localSheetId="4" hidden="1">2147483647</definedName>
    <definedName name="solver_tim" localSheetId="0" hidden="1">2147483647</definedName>
    <definedName name="solver_tim" localSheetId="2" hidden="1">2147483647</definedName>
    <definedName name="solver_tim" localSheetId="1" hidden="1">2147483647</definedName>
    <definedName name="solver_tol" localSheetId="3" hidden="1">0.01</definedName>
    <definedName name="solver_tol" localSheetId="4" hidden="1">0.01</definedName>
    <definedName name="solver_tol" localSheetId="0" hidden="1">0.01</definedName>
    <definedName name="solver_tol" localSheetId="2" hidden="1">0.01</definedName>
    <definedName name="solver_tol" localSheetId="1" hidden="1">0.01</definedName>
    <definedName name="solver_typ" localSheetId="3" hidden="1">1</definedName>
    <definedName name="solver_typ" localSheetId="4" hidden="1">2</definedName>
    <definedName name="solver_typ" localSheetId="0" hidden="1">1</definedName>
    <definedName name="solver_typ" localSheetId="2" hidden="1">2</definedName>
    <definedName name="solver_typ" localSheetId="1" hidden="1">2</definedName>
    <definedName name="solver_val" localSheetId="3" hidden="1">0</definedName>
    <definedName name="solver_val" localSheetId="4" hidden="1">0</definedName>
    <definedName name="solver_val" localSheetId="0" hidden="1">0</definedName>
    <definedName name="solver_val" localSheetId="2" hidden="1">0</definedName>
    <definedName name="solver_val" localSheetId="1" hidden="1">0</definedName>
    <definedName name="solver_ver" localSheetId="3" hidden="1">3</definedName>
    <definedName name="solver_ver" localSheetId="4" hidden="1">3</definedName>
    <definedName name="solver_ver" localSheetId="0" hidden="1">3</definedName>
    <definedName name="solver_ver" localSheetId="2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" i="5" l="1"/>
  <c r="J9" i="5"/>
  <c r="H16" i="6"/>
  <c r="H17" i="6"/>
  <c r="H18" i="6"/>
  <c r="H15" i="6"/>
  <c r="J14" i="6"/>
  <c r="I15" i="6" s="1"/>
  <c r="D19" i="6"/>
  <c r="E19" i="6"/>
  <c r="F19" i="6"/>
  <c r="G16" i="6"/>
  <c r="G17" i="6"/>
  <c r="G18" i="6"/>
  <c r="G15" i="6"/>
  <c r="C19" i="6"/>
  <c r="K20" i="4"/>
  <c r="H16" i="4"/>
  <c r="H17" i="4"/>
  <c r="H18" i="4"/>
  <c r="H15" i="4"/>
  <c r="D19" i="4"/>
  <c r="E19" i="4"/>
  <c r="F19" i="4"/>
  <c r="G19" i="4"/>
  <c r="C19" i="4"/>
  <c r="E11" i="3"/>
  <c r="E10" i="3"/>
  <c r="E9" i="3"/>
  <c r="E8" i="3"/>
  <c r="E7" i="3"/>
  <c r="E6" i="3"/>
  <c r="E5" i="3"/>
  <c r="C20" i="2"/>
  <c r="D20" i="2"/>
  <c r="B20" i="2"/>
  <c r="E19" i="2"/>
  <c r="E18" i="2"/>
  <c r="H14" i="3" l="1"/>
  <c r="G21" i="2"/>
</calcChain>
</file>

<file path=xl/sharedStrings.xml><?xml version="1.0" encoding="utf-8"?>
<sst xmlns="http://schemas.openxmlformats.org/spreadsheetml/2006/main" count="108" uniqueCount="67">
  <si>
    <t>Изделия</t>
  </si>
  <si>
    <t>Цех (участок)</t>
  </si>
  <si>
    <t>Цена изделия</t>
  </si>
  <si>
    <t>Ц1</t>
  </si>
  <si>
    <t>Ц2</t>
  </si>
  <si>
    <t>Ц3</t>
  </si>
  <si>
    <t>И1</t>
  </si>
  <si>
    <t>И2</t>
  </si>
  <si>
    <t>Максимальная загрузка</t>
  </si>
  <si>
    <t>Таблица А</t>
  </si>
  <si>
    <t>Таблица В</t>
  </si>
  <si>
    <r>
      <t>С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</si>
  <si>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t>https://tolstyakoff.ru</t>
  </si>
  <si>
    <t>Таблица B</t>
  </si>
  <si>
    <t>Оплата труда</t>
  </si>
  <si>
    <t>Дни недели</t>
  </si>
  <si>
    <t>Стоимость</t>
  </si>
  <si>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</si>
  <si>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</si>
  <si>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</si>
  <si>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</si>
  <si>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</si>
  <si>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</si>
  <si>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</si>
  <si>
    <t>Требуются</t>
  </si>
  <si>
    <t>День недели</t>
  </si>
  <si>
    <t>Кол-во служащих</t>
  </si>
  <si>
    <t>Лос-Анджелес</t>
  </si>
  <si>
    <t>Даллас</t>
  </si>
  <si>
    <t>Сент-Луис</t>
  </si>
  <si>
    <t>Вашингтон</t>
  </si>
  <si>
    <t>Атланта</t>
  </si>
  <si>
    <t>Денвер</t>
  </si>
  <si>
    <t>Бостон</t>
  </si>
  <si>
    <t>Новый Орлеан</t>
  </si>
  <si>
    <t>Виды работ</t>
  </si>
  <si>
    <t>A</t>
  </si>
  <si>
    <t>B</t>
  </si>
  <si>
    <t>C</t>
  </si>
  <si>
    <t>D</t>
  </si>
  <si>
    <t>Рабочие</t>
  </si>
  <si>
    <t>Таблица Б</t>
  </si>
  <si>
    <t>Проект</t>
  </si>
  <si>
    <t>Затраты (I)</t>
  </si>
  <si>
    <t>Прибыль (P)</t>
  </si>
  <si>
    <t>S</t>
  </si>
  <si>
    <t>Факт</t>
  </si>
  <si>
    <t>Кол-во</t>
  </si>
  <si>
    <t>бригада</t>
  </si>
  <si>
    <t>выходные</t>
  </si>
  <si>
    <t>пн,вт</t>
  </si>
  <si>
    <t>вт,ср</t>
  </si>
  <si>
    <t>ср,чт</t>
  </si>
  <si>
    <t>чт,пт</t>
  </si>
  <si>
    <t>пт,сб</t>
  </si>
  <si>
    <t>сб,вс</t>
  </si>
  <si>
    <t>вс,пн</t>
  </si>
  <si>
    <t>опг:</t>
  </si>
  <si>
    <t>опг</t>
  </si>
  <si>
    <t>симплекс</t>
  </si>
  <si>
    <t>зп рабочего</t>
  </si>
  <si>
    <t>норма</t>
  </si>
  <si>
    <t>участие</t>
  </si>
  <si>
    <t>затраты</t>
  </si>
  <si>
    <t>прибыль</t>
  </si>
  <si>
    <t>для 60000:</t>
  </si>
  <si>
    <t>для 65000: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</si>
</sst>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vertAlign val="subscript"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0B0B1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0">
    <xf numFmtId="0" fontId="0" fillId="0" borderId="0" xfId="0"/>
    <xf numFmtId="0" fontId="0" fillId="3" borderId="0" xfId="0" applyFill="1"/>
    <xf numFmtId="0" fontId="3" fillId="0" borderId="1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0" borderId="0" xfId="0" applyFont="1"/>
    <xf numFmtId="164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0" xfId="1" applyFill="1"/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0" fillId="0" borderId="8" xfId="0" applyBorder="1"/>
    <xf numFmtId="0" fontId="3" fillId="0" borderId="9" xfId="0" applyFont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textRotation="90" wrapText="1"/>
    </xf>
    <xf numFmtId="0" fontId="3" fillId="0" borderId="4" xfId="0" applyFont="1" applyBorder="1" applyAlignment="1">
      <alignment horizontal="center" vertical="center" textRotation="90" wrapText="1"/>
    </xf>
    <xf numFmtId="0" fontId="3" fillId="6" borderId="1" xfId="0" applyNumberFormat="1" applyFont="1" applyFill="1" applyBorder="1" applyAlignment="1">
      <alignment horizontal="center" vertical="center" wrapText="1"/>
    </xf>
    <xf numFmtId="0" fontId="0" fillId="5" borderId="0" xfId="0" applyFill="1"/>
    <xf numFmtId="0" fontId="0" fillId="0" borderId="0" xfId="0" applyFill="1"/>
    <xf numFmtId="0" fontId="2" fillId="0" borderId="0" xfId="0" applyFont="1" applyFill="1" applyBorder="1" applyAlignment="1">
      <alignment vertical="center" wrapText="1"/>
    </xf>
    <xf numFmtId="0" fontId="0" fillId="6" borderId="0" xfId="0" applyFill="1"/>
    <xf numFmtId="0" fontId="2" fillId="2" borderId="0" xfId="0" applyFont="1" applyFill="1" applyAlignment="1">
      <alignment vertical="center" wrapText="1"/>
    </xf>
    <xf numFmtId="0" fontId="6" fillId="0" borderId="0" xfId="0" applyFont="1"/>
    <xf numFmtId="0" fontId="7" fillId="0" borderId="0" xfId="0" applyFont="1"/>
    <xf numFmtId="0" fontId="3" fillId="6" borderId="1" xfId="0" applyFont="1" applyFill="1" applyBorder="1" applyAlignment="1">
      <alignment horizontal="center" vertical="center" wrapText="1"/>
    </xf>
    <xf numFmtId="0" fontId="0" fillId="7" borderId="0" xfId="0" applyFill="1"/>
    <xf numFmtId="0" fontId="0" fillId="8" borderId="0" xfId="0" applyFill="1"/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0" fillId="10" borderId="0" xfId="0" applyFill="1"/>
    <xf numFmtId="0" fontId="0" fillId="2" borderId="0" xfId="0" applyFill="1"/>
    <xf numFmtId="0" fontId="3" fillId="4" borderId="1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0" fillId="5" borderId="1" xfId="0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A6377C"/>
      <color rgb="FFD13A7E"/>
      <color rgb="FF0B0B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15240</xdr:rowOff>
    </xdr:from>
    <xdr:to>
      <xdr:col>15</xdr:col>
      <xdr:colOff>0</xdr:colOff>
      <xdr:row>16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7071360" y="15240"/>
          <a:ext cx="4876800" cy="335280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следующую задачу с помощью Поиска решения 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MS Excel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Предположим, что в трех цехах (Ц1, Ц2,Ц3) изготавливаются два вида изделий И1 и И2. Известна загрузка каждого цеха 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</a:t>
          </a:r>
          <a:r>
            <a:rPr lang="en-US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(оцениваемая в данном случае в процентах) при изготовлении каждого из изделий и цена реализуемой продукции в рублях </a:t>
          </a:r>
        </a:p>
        <a:p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en-US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.(за1 изделие)</a:t>
          </a:r>
          <a:r>
            <a:rPr lang="en-US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таблице А</a:t>
          </a:r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ru-R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Определить, сколько изделий каждого вида следует производить при возможно более полной загрузке цехов, чтобы получить за рассматриваемый плановый период максимальную прибыль.</a:t>
          </a: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задачу также для значений </a:t>
          </a:r>
        </a:p>
        <a:p>
          <a:pPr lvl="0"/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ru-RU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ru-RU" sz="1100" b="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из </a:t>
          </a:r>
          <a:r>
            <a:rPr lang="ru-RU" sz="11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таблицы </a:t>
          </a:r>
          <a:r>
            <a:rPr lang="en-US" sz="11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</a:t>
          </a:r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предполагая во всех случаях, что </a:t>
          </a:r>
        </a:p>
        <a:p>
          <a:pPr lvl="0"/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ru-RU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остается неизменной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 каком случае оптимальный план включает только один вид изделий?</a:t>
          </a: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Исходные данные для решения задачи приведены в таблице.</a:t>
          </a:r>
        </a:p>
        <a:p>
          <a:endParaRPr lang="ru-RU" sz="1100"/>
        </a:p>
      </xdr:txBody>
    </xdr:sp>
    <xdr:clientData/>
  </xdr:twoCellAnchor>
  <xdr:twoCellAnchor editAs="oneCell">
    <xdr:from>
      <xdr:col>0</xdr:col>
      <xdr:colOff>0</xdr:colOff>
      <xdr:row>0</xdr:row>
      <xdr:rowOff>1</xdr:rowOff>
    </xdr:from>
    <xdr:to>
      <xdr:col>6</xdr:col>
      <xdr:colOff>644722</xdr:colOff>
      <xdr:row>1</xdr:row>
      <xdr:rowOff>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39756</xdr:rowOff>
    </xdr:from>
    <xdr:to>
      <xdr:col>6</xdr:col>
      <xdr:colOff>856303</xdr:colOff>
      <xdr:row>40</xdr:row>
      <xdr:rowOff>53009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981BF587-4CF6-44B0-B125-3F6B7FF0F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744278"/>
          <a:ext cx="6177051" cy="3167270"/>
        </a:xfrm>
        <a:prstGeom prst="rect">
          <a:avLst/>
        </a:prstGeom>
      </xdr:spPr>
    </xdr:pic>
    <xdr:clientData/>
  </xdr:twoCellAnchor>
  <xdr:twoCellAnchor editAs="oneCell">
    <xdr:from>
      <xdr:col>6</xdr:col>
      <xdr:colOff>1285461</xdr:colOff>
      <xdr:row>22</xdr:row>
      <xdr:rowOff>148101</xdr:rowOff>
    </xdr:from>
    <xdr:to>
      <xdr:col>17</xdr:col>
      <xdr:colOff>251791</xdr:colOff>
      <xdr:row>41</xdr:row>
      <xdr:rowOff>76832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C77F9B1A-B85A-49E1-B286-C55DB9802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06209" y="4667092"/>
          <a:ext cx="6818243" cy="34538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15240</xdr:rowOff>
    </xdr:from>
    <xdr:to>
      <xdr:col>13</xdr:col>
      <xdr:colOff>594360</xdr:colOff>
      <xdr:row>1</xdr:row>
      <xdr:rowOff>45720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6987540" y="15240"/>
          <a:ext cx="4861560" cy="64008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Целью данной задачи является составление оптимального  штатного расписания. Предприятию обслуживания требуется принять на работу служащих при условии, что каждый из них будет работать пять дней в неделю с двумя выходными днями подряд. </a:t>
          </a:r>
        </a:p>
        <a:p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Известно, что предприятию требуется </a:t>
          </a:r>
        </a:p>
        <a:p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Таблице А:</a:t>
          </a: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lang="en-US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Требуется составить с помощью программы 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Excel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Поиск решения график работы, который обеспечит выполнение всех работ минимальным составом служащих.</a:t>
          </a:r>
        </a:p>
        <a:p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Пусть оплата труда служащего за 1 день работы составляет: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Таблице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ru-RU">
            <a:effectLst/>
          </a:endParaRP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на листе 2 задачу составления оптимального штатного расписания при условии, что минимальной должна быть сумма  затрат на оплату труда всех служащих.</a:t>
          </a:r>
        </a:p>
        <a:p>
          <a:endParaRPr lang="ru-RU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15240</xdr:colOff>
      <xdr:row>0</xdr:row>
      <xdr:rowOff>1</xdr:rowOff>
    </xdr:from>
    <xdr:to>
      <xdr:col>4</xdr:col>
      <xdr:colOff>576142</xdr:colOff>
      <xdr:row>1</xdr:row>
      <xdr:rowOff>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" y="1"/>
          <a:ext cx="5963482" cy="609600"/>
        </a:xfrm>
        <a:prstGeom prst="rect">
          <a:avLst/>
        </a:prstGeom>
      </xdr:spPr>
    </xdr:pic>
    <xdr:clientData/>
  </xdr:twoCellAnchor>
  <xdr:twoCellAnchor editAs="oneCell">
    <xdr:from>
      <xdr:col>9</xdr:col>
      <xdr:colOff>12291</xdr:colOff>
      <xdr:row>1</xdr:row>
      <xdr:rowOff>61453</xdr:rowOff>
    </xdr:from>
    <xdr:to>
      <xdr:col>14</xdr:col>
      <xdr:colOff>574771</xdr:colOff>
      <xdr:row>17</xdr:row>
      <xdr:rowOff>21260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B31E1FDD-6EED-464D-8B5B-7046021CF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36743" y="675969"/>
          <a:ext cx="3635060" cy="3081549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</xdr:row>
      <xdr:rowOff>0</xdr:rowOff>
    </xdr:from>
    <xdr:to>
      <xdr:col>22</xdr:col>
      <xdr:colOff>572005</xdr:colOff>
      <xdr:row>18</xdr:row>
      <xdr:rowOff>99756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7738C60-A4BB-403B-94B7-B577CDA4D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94229" y="979714"/>
          <a:ext cx="3620005" cy="30388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6</xdr:col>
      <xdr:colOff>416122</xdr:colOff>
      <xdr:row>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8</xdr:col>
      <xdr:colOff>167640</xdr:colOff>
      <xdr:row>0</xdr:row>
      <xdr:rowOff>0</xdr:rowOff>
    </xdr:from>
    <xdr:to>
      <xdr:col>15</xdr:col>
      <xdr:colOff>0</xdr:colOff>
      <xdr:row>16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7269480" y="0"/>
          <a:ext cx="4099560" cy="351282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Фирма имеет 4 фабрики и 5 центров распределения ее товаров. Фабрики фирмы располагаются в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Денвере, Бостоне, Новом Орлеане и Далласе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ежедневно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каждая фабрика выпускает определенное количество продукции, отражено в 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столбце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H</a:t>
          </a:r>
          <a:endParaRPr lang="ru-RU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Центры распределения товаров фирмы располагаются в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Лос-Анджелесе, Далласе, Сент-Луисе, Вашингтоне и Атланте с ежедневными потребностями,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отраженными в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строке 11</a:t>
          </a: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Стоимость перевозки единицы продукции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c</a:t>
          </a:r>
          <a:r>
            <a:rPr lang="en-US" sz="1100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 фабрик в пункты распределения приведена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таблице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C7:G4</a:t>
          </a:r>
          <a:endParaRPr lang="en-US" sz="11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Необходимо так спланировать перевозки, чтобы минимизировать суммарные транспортные расходы.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Заполните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таблицу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А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указав количество ежедневно перевозимой продукции из фабоик в центры распределения </a:t>
          </a: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8</xdr:col>
      <xdr:colOff>19882</xdr:colOff>
      <xdr:row>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15</xdr:col>
      <xdr:colOff>0</xdr:colOff>
      <xdr:row>7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943600" y="0"/>
          <a:ext cx="4267200" cy="170688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Фирма рассматривает пакет инвестиционных проектов, предварительные результаты анализа которых приведены в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таблице А.</a:t>
          </a: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Определите оптимальный инвестиционный портфель, для которого суммарная прибыль  принятых проектов будет максимальной. При этом общая сумма затрат на финансирование всех принятых проектов должна быть не больше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 Решить задачу для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двух значений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</a:t>
          </a:r>
          <a:r>
            <a:rPr lang="ru-RU" sz="1100" i="1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из 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таблице Б</a:t>
          </a:r>
          <a:endParaRPr lang="ru-RU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3</xdr:col>
      <xdr:colOff>390739</xdr:colOff>
      <xdr:row>19</xdr:row>
      <xdr:rowOff>163955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EA7EFFE1-2238-4E99-B806-AB790E0C1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52600" y="3169920"/>
          <a:ext cx="1533739" cy="895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9</xdr:col>
      <xdr:colOff>228802</xdr:colOff>
      <xdr:row>20</xdr:row>
      <xdr:rowOff>68692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B609751A-D482-4B0D-85AA-96FBE9F33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34000" y="3352800"/>
          <a:ext cx="1448002" cy="8002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9</xdr:col>
      <xdr:colOff>477082</xdr:colOff>
      <xdr:row>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16</xdr:col>
      <xdr:colOff>0</xdr:colOff>
      <xdr:row>12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5486400" y="0"/>
          <a:ext cx="4267200" cy="278892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Имеются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n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=4 рабочих и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=4 видов работ. Стоимость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</a:t>
          </a:r>
          <a:r>
            <a:rPr lang="ru-RU" sz="1100" b="0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выполнения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i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-м рабочим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j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-й работы приведена в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таблице А.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где рабочему соответствует строка,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 работе – столбец.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Составить оптимальный план работ так, чтобы: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а) все работы были выполнены, причем за каждой работой закреплен только один рабочий;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б) каждый рабочий был занят только на одной работе; 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в) суммарная стоимость выполнения всех работ была бы минимальной.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*Решить задачу при дополнительном условии: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стоимость работы каждого рабочего составляет не менее 15% от стоимости всех работ.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tolstyakoff.ru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tolstyakoff.ru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tolstyakoff.ru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tolstyakoff.ru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tolstyakoff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opLeftCell="B22" zoomScale="115" zoomScaleNormal="115" workbookViewId="0">
      <selection activeCell="H25" sqref="H25"/>
    </sheetView>
  </sheetViews>
  <sheetFormatPr defaultRowHeight="14.4" x14ac:dyDescent="0.3"/>
  <cols>
    <col min="1" max="1" width="27.77734375" customWidth="1"/>
    <col min="5" max="5" width="14.21875" customWidth="1"/>
    <col min="7" max="7" width="25.5546875" customWidth="1"/>
  </cols>
  <sheetData>
    <row r="1" spans="1:15" ht="48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3">
      <c r="A2" s="9" t="s">
        <v>12</v>
      </c>
    </row>
    <row r="3" spans="1:15" x14ac:dyDescent="0.3">
      <c r="E3" s="6" t="s">
        <v>9</v>
      </c>
    </row>
    <row r="4" spans="1:15" x14ac:dyDescent="0.3">
      <c r="A4" s="24" t="s">
        <v>0</v>
      </c>
      <c r="B4" s="25" t="s">
        <v>1</v>
      </c>
      <c r="C4" s="25"/>
      <c r="D4" s="25"/>
      <c r="E4" s="25" t="s">
        <v>2</v>
      </c>
    </row>
    <row r="5" spans="1:15" x14ac:dyDescent="0.3">
      <c r="A5" s="24"/>
      <c r="B5" s="2" t="s">
        <v>3</v>
      </c>
      <c r="C5" s="2" t="s">
        <v>4</v>
      </c>
      <c r="D5" s="2" t="s">
        <v>5</v>
      </c>
      <c r="E5" s="25"/>
    </row>
    <row r="6" spans="1:15" x14ac:dyDescent="0.3">
      <c r="A6" s="2" t="s">
        <v>6</v>
      </c>
      <c r="B6" s="3">
        <v>7.0000000000000007E-2</v>
      </c>
      <c r="C6" s="7">
        <v>1.4999999999999999E-2</v>
      </c>
      <c r="D6" s="7">
        <v>3.1E-2</v>
      </c>
      <c r="E6" s="2">
        <v>340</v>
      </c>
    </row>
    <row r="7" spans="1:15" x14ac:dyDescent="0.3">
      <c r="A7" s="2" t="s">
        <v>7</v>
      </c>
      <c r="B7" s="3">
        <v>0.06</v>
      </c>
      <c r="C7" s="7">
        <v>6.5000000000000002E-2</v>
      </c>
      <c r="D7" s="7">
        <v>5.7000000000000002E-2</v>
      </c>
      <c r="E7" s="2">
        <v>620</v>
      </c>
    </row>
    <row r="8" spans="1:15" x14ac:dyDescent="0.3">
      <c r="A8" s="2" t="s">
        <v>8</v>
      </c>
      <c r="B8" s="4">
        <v>0.87</v>
      </c>
      <c r="C8" s="4">
        <v>0.9</v>
      </c>
      <c r="D8" s="4">
        <v>0.82000000000000006</v>
      </c>
      <c r="E8" s="5"/>
    </row>
    <row r="11" spans="1:15" x14ac:dyDescent="0.3">
      <c r="E11" s="6" t="s">
        <v>10</v>
      </c>
    </row>
    <row r="12" spans="1:15" ht="15.6" x14ac:dyDescent="0.3">
      <c r="A12" s="26" t="s">
        <v>2</v>
      </c>
      <c r="B12" s="2" t="s">
        <v>11</v>
      </c>
      <c r="C12" s="2" t="s">
        <v>11</v>
      </c>
      <c r="D12" s="2" t="s">
        <v>11</v>
      </c>
      <c r="E12" s="2" t="s">
        <v>11</v>
      </c>
    </row>
    <row r="13" spans="1:15" x14ac:dyDescent="0.3">
      <c r="A13" s="27"/>
      <c r="B13" s="2">
        <v>130</v>
      </c>
      <c r="C13" s="2">
        <v>150</v>
      </c>
      <c r="D13" s="2">
        <v>340</v>
      </c>
      <c r="E13" s="2">
        <v>620</v>
      </c>
    </row>
    <row r="16" spans="1:15" x14ac:dyDescent="0.3">
      <c r="A16" s="24" t="s">
        <v>0</v>
      </c>
      <c r="B16" s="25" t="s">
        <v>1</v>
      </c>
      <c r="C16" s="25"/>
      <c r="D16" s="25"/>
    </row>
    <row r="17" spans="1:7" x14ac:dyDescent="0.3">
      <c r="A17" s="24"/>
      <c r="B17" s="2" t="s">
        <v>3</v>
      </c>
      <c r="C17" s="2" t="s">
        <v>4</v>
      </c>
      <c r="D17" s="2" t="s">
        <v>5</v>
      </c>
    </row>
    <row r="18" spans="1:7" x14ac:dyDescent="0.3">
      <c r="A18" s="2" t="s">
        <v>6</v>
      </c>
      <c r="B18" s="32">
        <v>0</v>
      </c>
      <c r="C18" s="32">
        <v>60</v>
      </c>
      <c r="D18" s="32">
        <v>0</v>
      </c>
      <c r="E18">
        <f>SUM(B18:D18)</f>
        <v>60</v>
      </c>
    </row>
    <row r="19" spans="1:7" x14ac:dyDescent="0.3">
      <c r="A19" s="2" t="s">
        <v>7</v>
      </c>
      <c r="B19" s="32">
        <v>14</v>
      </c>
      <c r="C19" s="32">
        <v>0</v>
      </c>
      <c r="D19" s="32">
        <v>14</v>
      </c>
      <c r="E19">
        <f>SUM(B19:D19)</f>
        <v>28</v>
      </c>
      <c r="G19" s="34"/>
    </row>
    <row r="20" spans="1:7" x14ac:dyDescent="0.3">
      <c r="A20" s="2"/>
      <c r="B20" s="4">
        <f>SUMPRODUCT(B18:B19,B6:B7)</f>
        <v>0.84</v>
      </c>
      <c r="C20" s="4">
        <f t="shared" ref="C20:D20" si="0">SUMPRODUCT(C18:C19,C6:C7)</f>
        <v>0.89999999999999991</v>
      </c>
      <c r="D20" s="4">
        <f t="shared" si="0"/>
        <v>0.79800000000000004</v>
      </c>
    </row>
    <row r="21" spans="1:7" x14ac:dyDescent="0.3">
      <c r="G21" s="33">
        <f>SUMPRODUCT(E18:E19,E6:E7)</f>
        <v>37760</v>
      </c>
    </row>
  </sheetData>
  <mergeCells count="6">
    <mergeCell ref="A4:A5"/>
    <mergeCell ref="B4:D4"/>
    <mergeCell ref="E4:E5"/>
    <mergeCell ref="A12:A13"/>
    <mergeCell ref="A16:A17"/>
    <mergeCell ref="B16:D16"/>
  </mergeCells>
  <hyperlinks>
    <hyperlink ref="A2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1"/>
  <sheetViews>
    <sheetView topLeftCell="C1" zoomScale="91" zoomScaleNormal="91" workbookViewId="0">
      <selection activeCell="H14" sqref="H14"/>
    </sheetView>
  </sheetViews>
  <sheetFormatPr defaultRowHeight="14.4" x14ac:dyDescent="0.3"/>
  <cols>
    <col min="1" max="1" width="17.109375" customWidth="1"/>
    <col min="2" max="2" width="35.88671875" customWidth="1"/>
    <col min="3" max="3" width="16.88671875" customWidth="1"/>
    <col min="5" max="5" width="14.21875" customWidth="1"/>
  </cols>
  <sheetData>
    <row r="1" spans="1:24" ht="48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24" x14ac:dyDescent="0.3">
      <c r="A2" s="9" t="s">
        <v>12</v>
      </c>
    </row>
    <row r="3" spans="1:24" x14ac:dyDescent="0.3">
      <c r="A3" s="6" t="s">
        <v>9</v>
      </c>
    </row>
    <row r="4" spans="1:24" ht="27.6" x14ac:dyDescent="0.5">
      <c r="A4" s="10" t="s">
        <v>24</v>
      </c>
      <c r="B4" s="10" t="s">
        <v>25</v>
      </c>
      <c r="C4" s="8" t="s">
        <v>26</v>
      </c>
      <c r="D4" s="11"/>
      <c r="E4" s="11" t="s">
        <v>46</v>
      </c>
      <c r="F4" s="35" t="s">
        <v>47</v>
      </c>
      <c r="G4" s="35" t="s">
        <v>48</v>
      </c>
      <c r="H4" s="35" t="s">
        <v>49</v>
      </c>
      <c r="P4" s="38" t="s">
        <v>58</v>
      </c>
      <c r="X4" s="39" t="s">
        <v>59</v>
      </c>
    </row>
    <row r="5" spans="1:24" x14ac:dyDescent="0.3">
      <c r="A5" s="12"/>
      <c r="B5" s="12" t="s">
        <v>17</v>
      </c>
      <c r="C5" s="2">
        <v>16</v>
      </c>
      <c r="D5" s="11"/>
      <c r="E5" s="37">
        <f>F6+F7+F8+F9+F10</f>
        <v>16</v>
      </c>
      <c r="F5" s="36">
        <v>10</v>
      </c>
      <c r="G5">
        <v>1</v>
      </c>
      <c r="H5" t="s">
        <v>50</v>
      </c>
      <c r="L5" t="s">
        <v>57</v>
      </c>
    </row>
    <row r="6" spans="1:24" x14ac:dyDescent="0.3">
      <c r="A6" s="12"/>
      <c r="B6" s="12" t="s">
        <v>18</v>
      </c>
      <c r="C6" s="2">
        <v>13</v>
      </c>
      <c r="D6" s="11"/>
      <c r="E6" s="37">
        <f>F7+F8+F9+F10+F11</f>
        <v>13</v>
      </c>
      <c r="F6" s="36">
        <v>3</v>
      </c>
      <c r="G6">
        <v>2</v>
      </c>
      <c r="H6" t="s">
        <v>51</v>
      </c>
    </row>
    <row r="7" spans="1:24" x14ac:dyDescent="0.3">
      <c r="A7" s="12"/>
      <c r="B7" s="12" t="s">
        <v>19</v>
      </c>
      <c r="C7" s="2">
        <v>17</v>
      </c>
      <c r="D7" s="11"/>
      <c r="E7" s="37">
        <f>F8+F9+F10+F11+F5</f>
        <v>17</v>
      </c>
      <c r="F7" s="36">
        <v>6</v>
      </c>
      <c r="G7">
        <v>3</v>
      </c>
      <c r="H7" t="s">
        <v>52</v>
      </c>
    </row>
    <row r="8" spans="1:24" x14ac:dyDescent="0.3">
      <c r="A8" s="12"/>
      <c r="B8" s="12" t="s">
        <v>20</v>
      </c>
      <c r="C8" s="2">
        <v>13</v>
      </c>
      <c r="D8" s="11"/>
      <c r="E8" s="37">
        <f>F9+F10+F11+F6+F5</f>
        <v>13</v>
      </c>
      <c r="F8" s="36">
        <v>7</v>
      </c>
      <c r="G8">
        <v>4</v>
      </c>
      <c r="H8" t="s">
        <v>53</v>
      </c>
    </row>
    <row r="9" spans="1:24" x14ac:dyDescent="0.3">
      <c r="A9" s="12"/>
      <c r="B9" s="12" t="s">
        <v>21</v>
      </c>
      <c r="C9" s="2">
        <v>19</v>
      </c>
      <c r="D9" s="11"/>
      <c r="E9" s="37">
        <f>F10+F11+F5+F6+F7</f>
        <v>19</v>
      </c>
      <c r="F9" s="36">
        <v>0</v>
      </c>
      <c r="G9">
        <v>5</v>
      </c>
      <c r="H9" t="s">
        <v>54</v>
      </c>
    </row>
    <row r="10" spans="1:24" x14ac:dyDescent="0.3">
      <c r="A10" s="12"/>
      <c r="B10" s="12" t="s">
        <v>22</v>
      </c>
      <c r="C10" s="2">
        <v>26</v>
      </c>
      <c r="D10" s="11"/>
      <c r="E10" s="37">
        <f>F5+F9+F8+F7+F6</f>
        <v>26</v>
      </c>
      <c r="F10" s="36">
        <v>0</v>
      </c>
      <c r="G10">
        <v>6</v>
      </c>
      <c r="H10" t="s">
        <v>55</v>
      </c>
    </row>
    <row r="11" spans="1:24" x14ac:dyDescent="0.3">
      <c r="A11" s="12"/>
      <c r="B11" s="12" t="s">
        <v>23</v>
      </c>
      <c r="C11" s="2">
        <v>20</v>
      </c>
      <c r="D11" s="11"/>
      <c r="E11" s="37">
        <f>F5+F6+F7+F8+F9</f>
        <v>26</v>
      </c>
      <c r="F11" s="36">
        <v>0</v>
      </c>
      <c r="G11">
        <v>7</v>
      </c>
      <c r="H11" t="s">
        <v>56</v>
      </c>
    </row>
    <row r="12" spans="1:24" x14ac:dyDescent="0.3">
      <c r="A12" s="11"/>
      <c r="B12" s="11"/>
      <c r="C12" s="11"/>
      <c r="D12" s="11"/>
      <c r="E12" s="11"/>
    </row>
    <row r="13" spans="1:24" x14ac:dyDescent="0.3">
      <c r="A13" s="6" t="s">
        <v>13</v>
      </c>
      <c r="B13" s="11"/>
      <c r="C13" s="11"/>
      <c r="D13" s="11"/>
      <c r="E13" s="11"/>
    </row>
    <row r="14" spans="1:24" x14ac:dyDescent="0.3">
      <c r="A14" s="10" t="s">
        <v>14</v>
      </c>
      <c r="B14" s="10" t="s">
        <v>15</v>
      </c>
      <c r="C14" s="8" t="s">
        <v>16</v>
      </c>
      <c r="H14" s="33">
        <f>SUMPRODUCT(E5:E11,C15:C21)</f>
        <v>282300</v>
      </c>
    </row>
    <row r="15" spans="1:24" x14ac:dyDescent="0.3">
      <c r="A15" s="13"/>
      <c r="B15" s="12" t="s">
        <v>17</v>
      </c>
      <c r="C15" s="2">
        <v>2000</v>
      </c>
    </row>
    <row r="16" spans="1:24" x14ac:dyDescent="0.3">
      <c r="A16" s="13"/>
      <c r="B16" s="12" t="s">
        <v>18</v>
      </c>
      <c r="C16" s="2">
        <v>2200</v>
      </c>
    </row>
    <row r="17" spans="1:3" x14ac:dyDescent="0.3">
      <c r="A17" s="13"/>
      <c r="B17" s="12" t="s">
        <v>19</v>
      </c>
      <c r="C17" s="2">
        <v>1900</v>
      </c>
    </row>
    <row r="18" spans="1:3" x14ac:dyDescent="0.3">
      <c r="A18" s="13"/>
      <c r="B18" s="12" t="s">
        <v>20</v>
      </c>
      <c r="C18" s="2">
        <v>2300</v>
      </c>
    </row>
    <row r="19" spans="1:3" x14ac:dyDescent="0.3">
      <c r="A19" s="13"/>
      <c r="B19" s="12" t="s">
        <v>21</v>
      </c>
      <c r="C19" s="2">
        <v>2100</v>
      </c>
    </row>
    <row r="20" spans="1:3" x14ac:dyDescent="0.3">
      <c r="A20" s="13"/>
      <c r="B20" s="12" t="s">
        <v>22</v>
      </c>
      <c r="C20" s="2">
        <v>2300</v>
      </c>
    </row>
    <row r="21" spans="1:3" x14ac:dyDescent="0.3">
      <c r="A21" s="13"/>
      <c r="B21" s="12" t="s">
        <v>23</v>
      </c>
      <c r="C21" s="2">
        <v>2300</v>
      </c>
    </row>
  </sheetData>
  <hyperlinks>
    <hyperlink ref="A2" r:id="rId1" xr:uid="{00000000-0004-0000-0100-000000000000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0"/>
  <sheetViews>
    <sheetView workbookViewId="0">
      <selection activeCell="K20" sqref="K20"/>
    </sheetView>
  </sheetViews>
  <sheetFormatPr defaultRowHeight="14.4" x14ac:dyDescent="0.3"/>
  <cols>
    <col min="1" max="1" width="6.33203125" customWidth="1"/>
    <col min="2" max="2" width="17.21875" customWidth="1"/>
    <col min="3" max="7" width="14.33203125" customWidth="1"/>
    <col min="8" max="8" width="8.33203125" customWidth="1"/>
  </cols>
  <sheetData>
    <row r="1" spans="1:14" ht="48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9" t="s">
        <v>12</v>
      </c>
    </row>
    <row r="3" spans="1:14" x14ac:dyDescent="0.3">
      <c r="A3" s="6"/>
    </row>
    <row r="5" spans="1:14" x14ac:dyDescent="0.3">
      <c r="A5" s="14"/>
      <c r="B5" s="15"/>
      <c r="C5" s="2">
        <v>1</v>
      </c>
      <c r="D5" s="2">
        <v>2</v>
      </c>
      <c r="E5" s="2">
        <v>3</v>
      </c>
      <c r="F5" s="2">
        <v>4</v>
      </c>
      <c r="G5" s="2">
        <v>5</v>
      </c>
      <c r="H5" s="2"/>
    </row>
    <row r="6" spans="1:14" ht="27.6" x14ac:dyDescent="0.3">
      <c r="A6" s="14"/>
      <c r="B6" s="14"/>
      <c r="C6" s="2" t="s">
        <v>27</v>
      </c>
      <c r="D6" s="2" t="s">
        <v>28</v>
      </c>
      <c r="E6" s="2" t="s">
        <v>29</v>
      </c>
      <c r="F6" s="2" t="s">
        <v>30</v>
      </c>
      <c r="G6" s="2" t="s">
        <v>31</v>
      </c>
      <c r="H6" s="2"/>
    </row>
    <row r="7" spans="1:14" x14ac:dyDescent="0.3">
      <c r="A7" s="12">
        <v>1</v>
      </c>
      <c r="B7" s="12" t="s">
        <v>32</v>
      </c>
      <c r="C7" s="2">
        <v>1</v>
      </c>
      <c r="D7" s="2">
        <v>2.25</v>
      </c>
      <c r="E7" s="2">
        <v>1.75</v>
      </c>
      <c r="F7" s="2">
        <v>2.5</v>
      </c>
      <c r="G7" s="2">
        <v>2.5</v>
      </c>
      <c r="H7" s="43">
        <v>220</v>
      </c>
    </row>
    <row r="8" spans="1:14" x14ac:dyDescent="0.3">
      <c r="A8" s="12">
        <v>2</v>
      </c>
      <c r="B8" s="12" t="s">
        <v>33</v>
      </c>
      <c r="C8" s="2">
        <v>3</v>
      </c>
      <c r="D8" s="2">
        <v>2</v>
      </c>
      <c r="E8" s="2">
        <v>1.5</v>
      </c>
      <c r="F8" s="2">
        <v>1.25</v>
      </c>
      <c r="G8" s="2">
        <v>2</v>
      </c>
      <c r="H8" s="43">
        <v>190</v>
      </c>
    </row>
    <row r="9" spans="1:14" x14ac:dyDescent="0.3">
      <c r="A9" s="12">
        <v>3</v>
      </c>
      <c r="B9" s="12" t="s">
        <v>34</v>
      </c>
      <c r="C9" s="2">
        <v>2.25</v>
      </c>
      <c r="D9" s="2">
        <v>2</v>
      </c>
      <c r="E9" s="2">
        <v>1.5</v>
      </c>
      <c r="F9" s="2">
        <v>2</v>
      </c>
      <c r="G9" s="2">
        <v>1.75</v>
      </c>
      <c r="H9" s="43">
        <v>245</v>
      </c>
    </row>
    <row r="10" spans="1:14" x14ac:dyDescent="0.3">
      <c r="A10" s="12">
        <v>4</v>
      </c>
      <c r="B10" s="12" t="s">
        <v>28</v>
      </c>
      <c r="C10" s="2">
        <v>2.5</v>
      </c>
      <c r="D10" s="2">
        <v>0</v>
      </c>
      <c r="E10" s="2">
        <v>2.25</v>
      </c>
      <c r="F10" s="2">
        <v>2.25</v>
      </c>
      <c r="G10" s="2">
        <v>2</v>
      </c>
      <c r="H10" s="43">
        <v>225</v>
      </c>
    </row>
    <row r="11" spans="1:14" x14ac:dyDescent="0.3">
      <c r="A11" s="12"/>
      <c r="B11" s="12"/>
      <c r="C11" s="44">
        <v>140</v>
      </c>
      <c r="D11" s="44">
        <v>190</v>
      </c>
      <c r="E11" s="44">
        <v>70</v>
      </c>
      <c r="F11" s="44">
        <v>270</v>
      </c>
      <c r="G11" s="44">
        <v>210</v>
      </c>
      <c r="H11" s="2"/>
    </row>
    <row r="13" spans="1:14" x14ac:dyDescent="0.3">
      <c r="B13" s="6" t="s">
        <v>9</v>
      </c>
    </row>
    <row r="14" spans="1:14" ht="27.6" x14ac:dyDescent="0.3">
      <c r="B14" s="12"/>
      <c r="C14" s="2" t="s">
        <v>27</v>
      </c>
      <c r="D14" s="2" t="s">
        <v>28</v>
      </c>
      <c r="E14" s="2" t="s">
        <v>29</v>
      </c>
      <c r="F14" s="2" t="s">
        <v>30</v>
      </c>
      <c r="G14" s="2" t="s">
        <v>31</v>
      </c>
    </row>
    <row r="15" spans="1:14" x14ac:dyDescent="0.3">
      <c r="B15" s="12" t="s">
        <v>32</v>
      </c>
      <c r="C15" s="40">
        <v>140</v>
      </c>
      <c r="D15" s="40">
        <v>0</v>
      </c>
      <c r="E15" s="40">
        <v>70</v>
      </c>
      <c r="F15" s="40">
        <v>10</v>
      </c>
      <c r="G15" s="40">
        <v>0</v>
      </c>
      <c r="H15" s="42">
        <f>SUM(C15:G15)</f>
        <v>220</v>
      </c>
    </row>
    <row r="16" spans="1:14" x14ac:dyDescent="0.3">
      <c r="B16" s="12" t="s">
        <v>33</v>
      </c>
      <c r="C16" s="40">
        <v>0</v>
      </c>
      <c r="D16" s="40">
        <v>0</v>
      </c>
      <c r="E16" s="40">
        <v>0</v>
      </c>
      <c r="F16" s="40">
        <v>190</v>
      </c>
      <c r="G16" s="40">
        <v>0</v>
      </c>
      <c r="H16" s="42">
        <f t="shared" ref="H16:H18" si="0">SUM(C16:G16)</f>
        <v>190</v>
      </c>
    </row>
    <row r="17" spans="2:11" x14ac:dyDescent="0.3">
      <c r="B17" s="12" t="s">
        <v>34</v>
      </c>
      <c r="C17" s="40">
        <v>0</v>
      </c>
      <c r="D17" s="40">
        <v>0</v>
      </c>
      <c r="E17" s="40">
        <v>0</v>
      </c>
      <c r="F17" s="40">
        <v>68</v>
      </c>
      <c r="G17" s="40">
        <v>177</v>
      </c>
      <c r="H17" s="42">
        <f t="shared" si="0"/>
        <v>245</v>
      </c>
    </row>
    <row r="18" spans="2:11" x14ac:dyDescent="0.3">
      <c r="B18" s="12" t="s">
        <v>28</v>
      </c>
      <c r="C18" s="40">
        <v>0</v>
      </c>
      <c r="D18" s="40">
        <v>190</v>
      </c>
      <c r="E18" s="40">
        <v>0</v>
      </c>
      <c r="F18" s="40">
        <v>2</v>
      </c>
      <c r="G18" s="40">
        <v>33</v>
      </c>
      <c r="H18" s="42">
        <f t="shared" si="0"/>
        <v>225</v>
      </c>
    </row>
    <row r="19" spans="2:11" x14ac:dyDescent="0.3">
      <c r="C19" s="41">
        <f>SUM(C15:C18)</f>
        <v>140</v>
      </c>
      <c r="D19" s="41">
        <f t="shared" ref="D19:G19" si="1">SUM(D15:D18)</f>
        <v>190</v>
      </c>
      <c r="E19" s="41">
        <f t="shared" si="1"/>
        <v>70</v>
      </c>
      <c r="F19" s="41">
        <f t="shared" si="1"/>
        <v>270</v>
      </c>
      <c r="G19" s="41">
        <f t="shared" si="1"/>
        <v>210</v>
      </c>
    </row>
    <row r="20" spans="2:11" x14ac:dyDescent="0.3">
      <c r="K20" s="33">
        <f>SUMPRODUCT(C15:G18,C7:G10)</f>
        <v>1041.25</v>
      </c>
    </row>
  </sheetData>
  <hyperlinks>
    <hyperlink ref="A2" r:id="rId1" xr:uid="{00000000-0004-0000-0200-000000000000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7"/>
  <sheetViews>
    <sheetView tabSelected="1" topLeftCell="B1" workbookViewId="0">
      <selection activeCell="N17" sqref="N17"/>
    </sheetView>
  </sheetViews>
  <sheetFormatPr defaultRowHeight="14.4" x14ac:dyDescent="0.3"/>
  <cols>
    <col min="2" max="3" width="16.6640625" customWidth="1"/>
  </cols>
  <sheetData>
    <row r="1" spans="1:10" ht="48" customHeight="1" x14ac:dyDescent="0.3">
      <c r="A1" s="1"/>
      <c r="B1" s="1"/>
      <c r="C1" s="1"/>
      <c r="D1" s="1"/>
      <c r="E1" s="1"/>
      <c r="F1" s="1"/>
      <c r="G1" s="1"/>
      <c r="H1" s="1"/>
    </row>
    <row r="2" spans="1:10" x14ac:dyDescent="0.3">
      <c r="A2" s="9" t="s">
        <v>12</v>
      </c>
    </row>
    <row r="4" spans="1:10" x14ac:dyDescent="0.3">
      <c r="A4" s="6" t="s">
        <v>9</v>
      </c>
      <c r="E4" s="6" t="s">
        <v>41</v>
      </c>
    </row>
    <row r="5" spans="1:10" x14ac:dyDescent="0.3">
      <c r="A5" s="12" t="s">
        <v>42</v>
      </c>
      <c r="B5" s="12" t="s">
        <v>43</v>
      </c>
      <c r="C5" s="12" t="s">
        <v>44</v>
      </c>
      <c r="E5" s="23" t="s">
        <v>45</v>
      </c>
      <c r="G5" t="s">
        <v>62</v>
      </c>
    </row>
    <row r="6" spans="1:10" x14ac:dyDescent="0.3">
      <c r="A6" s="12">
        <v>1</v>
      </c>
      <c r="B6" s="12">
        <v>22300</v>
      </c>
      <c r="C6" s="12">
        <v>9600</v>
      </c>
      <c r="E6" s="2">
        <v>65000</v>
      </c>
      <c r="G6" s="48">
        <v>1</v>
      </c>
    </row>
    <row r="7" spans="1:10" x14ac:dyDescent="0.3">
      <c r="A7" s="12">
        <v>2</v>
      </c>
      <c r="B7" s="12">
        <v>16900</v>
      </c>
      <c r="C7" s="12">
        <v>7400</v>
      </c>
      <c r="G7" s="48">
        <v>1</v>
      </c>
    </row>
    <row r="8" spans="1:10" x14ac:dyDescent="0.3">
      <c r="A8" s="12">
        <v>3</v>
      </c>
      <c r="B8" s="12">
        <v>12700</v>
      </c>
      <c r="C8" s="12">
        <v>4600</v>
      </c>
      <c r="G8" s="48">
        <v>1</v>
      </c>
    </row>
    <row r="9" spans="1:10" x14ac:dyDescent="0.3">
      <c r="A9" s="12">
        <v>4</v>
      </c>
      <c r="B9" s="12">
        <v>10000</v>
      </c>
      <c r="C9" s="12">
        <v>5300</v>
      </c>
      <c r="G9" s="48">
        <v>1</v>
      </c>
      <c r="I9" s="13" t="s">
        <v>63</v>
      </c>
      <c r="J9" s="13">
        <f>SUMPRODUCT(G6:G13,B6:B13)</f>
        <v>87900</v>
      </c>
    </row>
    <row r="10" spans="1:10" x14ac:dyDescent="0.3">
      <c r="A10" s="12">
        <v>5</v>
      </c>
      <c r="B10" s="12">
        <v>7800</v>
      </c>
      <c r="C10" s="12">
        <v>5000</v>
      </c>
      <c r="G10" s="48">
        <v>1</v>
      </c>
      <c r="I10" s="13" t="s">
        <v>64</v>
      </c>
      <c r="J10" s="49">
        <f>SUMPRODUCT(G6:G13,C6:C13)</f>
        <v>39800</v>
      </c>
    </row>
    <row r="11" spans="1:10" x14ac:dyDescent="0.3">
      <c r="A11" s="12">
        <v>6</v>
      </c>
      <c r="B11" s="12">
        <v>7200</v>
      </c>
      <c r="C11" s="12">
        <v>3000</v>
      </c>
      <c r="G11" s="48">
        <v>1</v>
      </c>
    </row>
    <row r="12" spans="1:10" x14ac:dyDescent="0.3">
      <c r="A12" s="12">
        <v>7</v>
      </c>
      <c r="B12" s="12">
        <v>6400</v>
      </c>
      <c r="C12" s="12">
        <v>2000</v>
      </c>
      <c r="G12" s="48">
        <v>1</v>
      </c>
    </row>
    <row r="13" spans="1:10" x14ac:dyDescent="0.3">
      <c r="A13" s="12">
        <v>8</v>
      </c>
      <c r="B13" s="12">
        <v>4600</v>
      </c>
      <c r="C13" s="12">
        <v>2900</v>
      </c>
      <c r="G13" s="48">
        <v>1</v>
      </c>
    </row>
    <row r="16" spans="1:10" x14ac:dyDescent="0.3">
      <c r="B16" t="s">
        <v>65</v>
      </c>
    </row>
    <row r="17" spans="6:6" x14ac:dyDescent="0.3">
      <c r="F17" t="s">
        <v>66</v>
      </c>
    </row>
  </sheetData>
  <hyperlinks>
    <hyperlink ref="A2" r:id="rId1" xr:uid="{00000000-0004-0000-0300-000000000000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9"/>
  <sheetViews>
    <sheetView topLeftCell="A4" workbookViewId="0">
      <selection activeCell="M14" sqref="M14"/>
    </sheetView>
  </sheetViews>
  <sheetFormatPr defaultRowHeight="14.4" x14ac:dyDescent="0.3"/>
  <sheetData>
    <row r="1" spans="1:10" ht="48" customHeight="1" x14ac:dyDescent="0.3">
      <c r="A1" s="1"/>
      <c r="B1" s="1"/>
      <c r="C1" s="1"/>
      <c r="D1" s="1"/>
      <c r="E1" s="1"/>
      <c r="F1" s="1"/>
      <c r="G1" s="1"/>
      <c r="H1" s="1"/>
    </row>
    <row r="2" spans="1:10" x14ac:dyDescent="0.3">
      <c r="A2" s="9" t="s">
        <v>12</v>
      </c>
    </row>
    <row r="5" spans="1:10" x14ac:dyDescent="0.3">
      <c r="A5" s="16"/>
      <c r="B5" s="17"/>
      <c r="C5" s="28" t="s">
        <v>35</v>
      </c>
      <c r="D5" s="28"/>
      <c r="E5" s="28"/>
      <c r="F5" s="29"/>
    </row>
    <row r="6" spans="1:10" ht="14.4" customHeight="1" x14ac:dyDescent="0.3">
      <c r="A6" s="18"/>
      <c r="B6" s="19"/>
      <c r="C6" s="20" t="s">
        <v>36</v>
      </c>
      <c r="D6" s="21" t="s">
        <v>37</v>
      </c>
      <c r="E6" s="21" t="s">
        <v>38</v>
      </c>
      <c r="F6" s="21" t="s">
        <v>39</v>
      </c>
    </row>
    <row r="7" spans="1:10" x14ac:dyDescent="0.3">
      <c r="A7" s="30" t="s">
        <v>40</v>
      </c>
      <c r="B7" s="22">
        <v>1</v>
      </c>
      <c r="C7" s="2">
        <v>8</v>
      </c>
      <c r="D7" s="2">
        <v>12</v>
      </c>
      <c r="E7" s="2">
        <v>2</v>
      </c>
      <c r="F7" s="2">
        <v>10</v>
      </c>
    </row>
    <row r="8" spans="1:10" x14ac:dyDescent="0.3">
      <c r="A8" s="30"/>
      <c r="B8" s="21">
        <v>2</v>
      </c>
      <c r="C8" s="2">
        <v>7</v>
      </c>
      <c r="D8" s="2">
        <v>2</v>
      </c>
      <c r="E8" s="2">
        <v>6</v>
      </c>
      <c r="F8" s="2">
        <v>14</v>
      </c>
    </row>
    <row r="9" spans="1:10" x14ac:dyDescent="0.3">
      <c r="A9" s="30"/>
      <c r="B9" s="21">
        <v>3</v>
      </c>
      <c r="C9" s="2">
        <v>8</v>
      </c>
      <c r="D9" s="2">
        <v>19</v>
      </c>
      <c r="E9" s="2">
        <v>12</v>
      </c>
      <c r="F9" s="2">
        <v>12</v>
      </c>
    </row>
    <row r="10" spans="1:10" x14ac:dyDescent="0.3">
      <c r="A10" s="31"/>
      <c r="B10" s="21">
        <v>4</v>
      </c>
      <c r="C10" s="2">
        <v>8</v>
      </c>
      <c r="D10" s="2">
        <v>7</v>
      </c>
      <c r="E10" s="2">
        <v>1</v>
      </c>
      <c r="F10" s="2">
        <v>13</v>
      </c>
    </row>
    <row r="13" spans="1:10" ht="33" customHeight="1" x14ac:dyDescent="0.3">
      <c r="A13" s="16"/>
      <c r="B13" s="17"/>
      <c r="C13" s="28" t="s">
        <v>35</v>
      </c>
      <c r="D13" s="28"/>
      <c r="E13" s="28"/>
      <c r="F13" s="29"/>
    </row>
    <row r="14" spans="1:10" ht="41.4" x14ac:dyDescent="0.3">
      <c r="A14" s="18"/>
      <c r="B14" s="19"/>
      <c r="C14" s="20" t="s">
        <v>36</v>
      </c>
      <c r="D14" s="21" t="s">
        <v>37</v>
      </c>
      <c r="E14" s="21" t="s">
        <v>38</v>
      </c>
      <c r="F14" s="21" t="s">
        <v>39</v>
      </c>
      <c r="H14" s="47" t="s">
        <v>60</v>
      </c>
      <c r="I14" s="47" t="s">
        <v>61</v>
      </c>
      <c r="J14" s="33">
        <f>SUMPRODUCT(C7:F10,C15:F18)</f>
        <v>33</v>
      </c>
    </row>
    <row r="15" spans="1:10" x14ac:dyDescent="0.3">
      <c r="A15" s="30" t="s">
        <v>40</v>
      </c>
      <c r="B15" s="22">
        <v>1</v>
      </c>
      <c r="C15" s="40">
        <v>1</v>
      </c>
      <c r="D15" s="40">
        <v>0</v>
      </c>
      <c r="E15" s="40">
        <v>0</v>
      </c>
      <c r="F15" s="40">
        <v>0</v>
      </c>
      <c r="G15" s="45">
        <f>SUM(C15:F15)</f>
        <v>1</v>
      </c>
      <c r="H15">
        <f>SUMPRODUCT(C15:F15,C7:F7)</f>
        <v>8</v>
      </c>
      <c r="I15">
        <f>0.15*J14</f>
        <v>4.95</v>
      </c>
    </row>
    <row r="16" spans="1:10" x14ac:dyDescent="0.3">
      <c r="A16" s="30"/>
      <c r="B16" s="21">
        <v>2</v>
      </c>
      <c r="C16" s="40">
        <v>0</v>
      </c>
      <c r="D16" s="40">
        <v>0</v>
      </c>
      <c r="E16" s="40">
        <v>1</v>
      </c>
      <c r="F16" s="40">
        <v>0</v>
      </c>
      <c r="G16" s="45">
        <f t="shared" ref="G16:G18" si="0">SUM(C16:F16)</f>
        <v>1</v>
      </c>
      <c r="H16">
        <f t="shared" ref="H16:H18" si="1">SUMPRODUCT(C16:F16,C8:F8)</f>
        <v>6</v>
      </c>
    </row>
    <row r="17" spans="1:8" x14ac:dyDescent="0.3">
      <c r="A17" s="30"/>
      <c r="B17" s="21">
        <v>3</v>
      </c>
      <c r="C17" s="40">
        <v>0</v>
      </c>
      <c r="D17" s="40">
        <v>0</v>
      </c>
      <c r="E17" s="40">
        <v>0</v>
      </c>
      <c r="F17" s="40">
        <v>1</v>
      </c>
      <c r="G17" s="45">
        <f t="shared" si="0"/>
        <v>1</v>
      </c>
      <c r="H17">
        <f t="shared" si="1"/>
        <v>12</v>
      </c>
    </row>
    <row r="18" spans="1:8" x14ac:dyDescent="0.3">
      <c r="A18" s="31"/>
      <c r="B18" s="21">
        <v>4</v>
      </c>
      <c r="C18" s="40">
        <v>0</v>
      </c>
      <c r="D18" s="40">
        <v>1</v>
      </c>
      <c r="E18" s="40">
        <v>0</v>
      </c>
      <c r="F18" s="40">
        <v>0</v>
      </c>
      <c r="G18" s="45">
        <f t="shared" si="0"/>
        <v>1</v>
      </c>
      <c r="H18">
        <f t="shared" si="1"/>
        <v>7</v>
      </c>
    </row>
    <row r="19" spans="1:8" x14ac:dyDescent="0.3">
      <c r="B19" s="34"/>
      <c r="C19" s="46">
        <f>SUM(C15:C18)</f>
        <v>1</v>
      </c>
      <c r="D19" s="46">
        <f t="shared" ref="D19:F19" si="2">SUM(D15:D18)</f>
        <v>1</v>
      </c>
      <c r="E19" s="46">
        <f t="shared" si="2"/>
        <v>1</v>
      </c>
      <c r="F19" s="46">
        <f t="shared" si="2"/>
        <v>1</v>
      </c>
    </row>
  </sheetData>
  <mergeCells count="4">
    <mergeCell ref="C5:F5"/>
    <mergeCell ref="A7:A10"/>
    <mergeCell ref="C13:F13"/>
    <mergeCell ref="A15:A18"/>
  </mergeCells>
  <hyperlinks>
    <hyperlink ref="A2" r:id="rId1" xr:uid="{00000000-0004-0000-04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Опт.План</vt:lpstr>
      <vt:lpstr>Шт.Расписание</vt:lpstr>
      <vt:lpstr>Тр.Задача</vt:lpstr>
      <vt:lpstr>Инвестиции</vt:lpstr>
      <vt:lpstr>Назначения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алина кочукова</cp:lastModifiedBy>
  <dcterms:created xsi:type="dcterms:W3CDTF">2025-11-28T21:09:32Z</dcterms:created>
  <dcterms:modified xsi:type="dcterms:W3CDTF">2026-10-18T15:22:25Z</dcterms:modified>
</cp:coreProperties>
</file>