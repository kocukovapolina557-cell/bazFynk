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defaultThemeVersion="124226"/>
  <xr:revisionPtr revIDLastSave="0" documentId="8_{FB83909E-4A2D-4F8D-BC22-884F778392BC}" xr6:coauthVersionLast="47" xr6:coauthVersionMax="47" xr10:uidLastSave="{00000000-0000-0000-0000-000000000000}"/>
  <bookViews>
    <workbookView xWindow="-108" yWindow="-108" windowWidth="23256" windowHeight="12456" tabRatio="855" firstSheet="21" activeTab="29" xr2:uid="{00000000-000D-0000-FFFF-FFFF00000000}"/>
  </bookViews>
  <sheets>
    <sheet name="ДАТА" sheetId="1" r:id="rId1"/>
    <sheet name="ДЕНЬ МЕСЯЦ ГОД" sheetId="9" r:id="rId2"/>
    <sheet name="СЕГОДНЯ" sheetId="28" r:id="rId3"/>
    <sheet name="ДАТАМЕС" sheetId="29" r:id="rId4"/>
    <sheet name="ОКРУГЛы" sheetId="2" r:id="rId5"/>
    <sheet name="СУММ" sheetId="3" r:id="rId6"/>
    <sheet name="СРЗНАЧ" sheetId="5" r:id="rId7"/>
    <sheet name="ЕСЛИ" sheetId="6" r:id="rId8"/>
    <sheet name="И ИЛИ" sheetId="10" r:id="rId9"/>
    <sheet name="СЧЁТЕСЛИ" sheetId="7" r:id="rId10"/>
    <sheet name="СУММЕСЛИ" sheetId="8" r:id="rId11"/>
    <sheet name="СРЗНАЧЕСЛИ" sheetId="17" r:id="rId12"/>
    <sheet name="МИН МАКС" sheetId="12" r:id="rId13"/>
    <sheet name="СЖПРОБЕЛЫ" sheetId="11" r:id="rId14"/>
    <sheet name="ПОИСК НАЙТИ" sheetId="4" r:id="rId15"/>
    <sheet name="ПОДСТАВИТЬ" sheetId="13" r:id="rId16"/>
    <sheet name="ЗАМЕНИТЬ" sheetId="27" r:id="rId17"/>
    <sheet name="ЛЕВСИМВ ПРАВСИМВ" sheetId="14" r:id="rId18"/>
    <sheet name="ДЛСТР" sheetId="15" r:id="rId19"/>
    <sheet name="СЦЕПИТЬ" sheetId="18" r:id="rId20"/>
    <sheet name="СТРОЧН ПРОПНАЧ ПРОПИСН" sheetId="30" r:id="rId21"/>
    <sheet name="СЧЁТ СЧЁТЗ" sheetId="16" r:id="rId22"/>
    <sheet name="СЧИТАТЬПУСТОТЫ" sheetId="20" r:id="rId23"/>
    <sheet name="ЕПУСТО ЕТЕКСТ ЕЧИСЛО" sheetId="31" r:id="rId24"/>
    <sheet name="НАИБОЛЬШИЙ НАИМЕНЬШИЙ" sheetId="19" r:id="rId25"/>
    <sheet name="ВПР" sheetId="21" r:id="rId26"/>
    <sheet name="ЕСЛИОШИБКА" sheetId="23" r:id="rId27"/>
    <sheet name="ПОИСКПОЗ" sheetId="24" r:id="rId28"/>
    <sheet name="ИНДЕКС" sheetId="25" r:id="rId29"/>
    <sheet name="РАНГ" sheetId="26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6" l="1"/>
  <c r="E7" i="26"/>
  <c r="E8" i="26"/>
  <c r="E9" i="26"/>
  <c r="E10" i="26"/>
  <c r="E11" i="26"/>
  <c r="E12" i="26"/>
  <c r="E13" i="26"/>
  <c r="E14" i="26"/>
  <c r="E15" i="26"/>
  <c r="E5" i="26"/>
  <c r="G6" i="25"/>
  <c r="F5" i="24"/>
  <c r="D6" i="23"/>
  <c r="D7" i="23"/>
  <c r="D8" i="23"/>
  <c r="D9" i="23"/>
  <c r="D10" i="23"/>
  <c r="D11" i="23"/>
  <c r="D12" i="23"/>
  <c r="D13" i="23"/>
  <c r="D14" i="23"/>
  <c r="D15" i="23"/>
  <c r="D5" i="23"/>
  <c r="H5" i="21"/>
  <c r="F14" i="19"/>
  <c r="F15" i="19"/>
  <c r="F13" i="19"/>
  <c r="F7" i="19"/>
  <c r="F8" i="19"/>
  <c r="F6" i="19"/>
  <c r="E6" i="31"/>
  <c r="E7" i="31"/>
  <c r="E8" i="31"/>
  <c r="E9" i="31"/>
  <c r="E10" i="31"/>
  <c r="E11" i="31"/>
  <c r="E12" i="31"/>
  <c r="E13" i="31"/>
  <c r="E14" i="31"/>
  <c r="E5" i="31"/>
  <c r="D6" i="31"/>
  <c r="D7" i="31"/>
  <c r="D8" i="31"/>
  <c r="D9" i="31"/>
  <c r="D10" i="31"/>
  <c r="D11" i="31"/>
  <c r="D12" i="31"/>
  <c r="D13" i="31"/>
  <c r="D14" i="31"/>
  <c r="D5" i="31"/>
  <c r="C6" i="31"/>
  <c r="C7" i="31"/>
  <c r="C8" i="31"/>
  <c r="C9" i="31"/>
  <c r="C10" i="31"/>
  <c r="C11" i="31"/>
  <c r="C12" i="31"/>
  <c r="C13" i="31"/>
  <c r="C14" i="31"/>
  <c r="C5" i="31"/>
  <c r="D6" i="20"/>
  <c r="G5" i="16"/>
  <c r="G8" i="16"/>
  <c r="E6" i="30"/>
  <c r="E7" i="30"/>
  <c r="E8" i="30"/>
  <c r="E9" i="30"/>
  <c r="E10" i="30"/>
  <c r="E11" i="30"/>
  <c r="E12" i="30"/>
  <c r="E13" i="30"/>
  <c r="D6" i="30"/>
  <c r="D7" i="30"/>
  <c r="D8" i="30"/>
  <c r="D9" i="30"/>
  <c r="D10" i="30"/>
  <c r="D11" i="30"/>
  <c r="D12" i="30"/>
  <c r="D13" i="30"/>
  <c r="E5" i="30"/>
  <c r="D5" i="30"/>
  <c r="C6" i="30"/>
  <c r="C7" i="30"/>
  <c r="C8" i="30"/>
  <c r="C9" i="30"/>
  <c r="C10" i="30"/>
  <c r="C11" i="30"/>
  <c r="C12" i="30"/>
  <c r="C13" i="30"/>
  <c r="C5" i="30"/>
  <c r="E15" i="18"/>
  <c r="E11" i="18"/>
  <c r="E6" i="18"/>
  <c r="E7" i="18"/>
  <c r="E8" i="18"/>
  <c r="E5" i="18"/>
  <c r="C6" i="15"/>
  <c r="C7" i="15"/>
  <c r="C8" i="15"/>
  <c r="C9" i="15"/>
  <c r="C10" i="15"/>
  <c r="C11" i="15"/>
  <c r="C12" i="15"/>
  <c r="C13" i="15"/>
  <c r="C14" i="15"/>
  <c r="C15" i="15"/>
  <c r="C5" i="15"/>
  <c r="C15" i="14"/>
  <c r="C14" i="14"/>
  <c r="C12" i="14"/>
  <c r="C11" i="14"/>
  <c r="C9" i="14"/>
  <c r="C8" i="14"/>
  <c r="C6" i="14"/>
  <c r="C5" i="14"/>
  <c r="C6" i="27"/>
  <c r="C7" i="27"/>
  <c r="C8" i="27"/>
  <c r="C9" i="27"/>
  <c r="C10" i="27"/>
  <c r="C11" i="27"/>
  <c r="C12" i="27"/>
  <c r="C13" i="27"/>
  <c r="C14" i="27"/>
  <c r="C15" i="27"/>
  <c r="C16" i="27"/>
  <c r="C5" i="27"/>
  <c r="C8" i="13"/>
  <c r="C7" i="13" l="1"/>
  <c r="C6" i="13"/>
  <c r="C5" i="13"/>
  <c r="E6" i="4"/>
  <c r="E7" i="4"/>
  <c r="E8" i="4"/>
  <c r="E9" i="4"/>
  <c r="E10" i="4"/>
  <c r="E11" i="4"/>
  <c r="E12" i="4"/>
  <c r="E13" i="4"/>
  <c r="E14" i="4"/>
  <c r="E15" i="4"/>
  <c r="E5" i="4"/>
  <c r="D6" i="4"/>
  <c r="D7" i="4"/>
  <c r="D8" i="4"/>
  <c r="D9" i="4"/>
  <c r="D10" i="4"/>
  <c r="D11" i="4"/>
  <c r="D12" i="4"/>
  <c r="D13" i="4"/>
  <c r="D14" i="4"/>
  <c r="D15" i="4"/>
  <c r="D5" i="4"/>
  <c r="C6" i="11"/>
  <c r="C7" i="11"/>
  <c r="C8" i="11"/>
  <c r="C9" i="11"/>
  <c r="C10" i="11"/>
  <c r="C11" i="11"/>
  <c r="C5" i="11"/>
  <c r="E10" i="12"/>
  <c r="E6" i="12"/>
  <c r="H7" i="17"/>
  <c r="H6" i="17"/>
  <c r="H5" i="17"/>
  <c r="H5" i="8"/>
  <c r="H7" i="7"/>
  <c r="H6" i="7"/>
  <c r="H5" i="7"/>
  <c r="F6" i="10"/>
  <c r="F7" i="10"/>
  <c r="F8" i="10"/>
  <c r="F9" i="10"/>
  <c r="F10" i="10"/>
  <c r="F11" i="10"/>
  <c r="F12" i="10"/>
  <c r="F13" i="10"/>
  <c r="F14" i="10"/>
  <c r="F5" i="10"/>
  <c r="C6" i="10"/>
  <c r="C7" i="10"/>
  <c r="C8" i="10"/>
  <c r="C9" i="10"/>
  <c r="C10" i="10"/>
  <c r="C11" i="10"/>
  <c r="C12" i="10"/>
  <c r="C13" i="10"/>
  <c r="C14" i="10"/>
  <c r="C5" i="10"/>
  <c r="D6" i="6"/>
  <c r="D7" i="6"/>
  <c r="D8" i="6"/>
  <c r="D9" i="6"/>
  <c r="D10" i="6"/>
  <c r="D11" i="6"/>
  <c r="D12" i="6"/>
  <c r="D13" i="6"/>
  <c r="D14" i="6"/>
  <c r="D15" i="6"/>
  <c r="D5" i="6"/>
  <c r="G6" i="5"/>
  <c r="G7" i="5"/>
  <c r="G8" i="5"/>
  <c r="G9" i="5"/>
  <c r="G10" i="5"/>
  <c r="G11" i="5"/>
  <c r="G12" i="5"/>
  <c r="G13" i="5"/>
  <c r="G5" i="5"/>
  <c r="H6" i="3"/>
  <c r="H7" i="3"/>
  <c r="H8" i="3"/>
  <c r="H9" i="3"/>
  <c r="H10" i="3"/>
  <c r="H11" i="3"/>
  <c r="H12" i="3"/>
  <c r="H5" i="3"/>
  <c r="G6" i="2"/>
  <c r="G7" i="2"/>
  <c r="G8" i="2"/>
  <c r="G9" i="2"/>
  <c r="G10" i="2"/>
  <c r="G11" i="2"/>
  <c r="G12" i="2"/>
  <c r="G13" i="2"/>
  <c r="G14" i="2"/>
  <c r="F6" i="2"/>
  <c r="F7" i="2"/>
  <c r="F8" i="2"/>
  <c r="F9" i="2"/>
  <c r="F10" i="2"/>
  <c r="F11" i="2"/>
  <c r="F12" i="2"/>
  <c r="F13" i="2"/>
  <c r="F14" i="2"/>
  <c r="G5" i="2"/>
  <c r="F5" i="2"/>
  <c r="E6" i="2"/>
  <c r="E7" i="2"/>
  <c r="E8" i="2"/>
  <c r="E9" i="2"/>
  <c r="E10" i="2"/>
  <c r="E11" i="2"/>
  <c r="E12" i="2"/>
  <c r="E13" i="2"/>
  <c r="E14" i="2"/>
  <c r="E5" i="2"/>
  <c r="D6" i="2"/>
  <c r="D7" i="2"/>
  <c r="D8" i="2"/>
  <c r="D9" i="2"/>
  <c r="D10" i="2"/>
  <c r="D11" i="2"/>
  <c r="D12" i="2"/>
  <c r="D13" i="2"/>
  <c r="D14" i="2"/>
  <c r="D5" i="2"/>
  <c r="E6" i="29"/>
  <c r="E7" i="29"/>
  <c r="E8" i="29"/>
  <c r="E9" i="29"/>
  <c r="E10" i="29"/>
  <c r="E11" i="29"/>
  <c r="E12" i="29"/>
  <c r="E13" i="29"/>
  <c r="E14" i="29"/>
  <c r="E15" i="29"/>
  <c r="E16" i="29"/>
  <c r="E5" i="29"/>
  <c r="B21" i="28"/>
  <c r="B15" i="28"/>
  <c r="B14" i="28"/>
  <c r="B13" i="28"/>
  <c r="B12" i="28"/>
  <c r="B11" i="28"/>
  <c r="B10" i="28"/>
  <c r="B9" i="28"/>
  <c r="B8" i="28"/>
  <c r="B7" i="28"/>
  <c r="B6" i="28"/>
  <c r="B5" i="28"/>
  <c r="E6" i="9"/>
  <c r="E7" i="9"/>
  <c r="E8" i="9"/>
  <c r="E9" i="9"/>
  <c r="E10" i="9"/>
  <c r="E11" i="9"/>
  <c r="E12" i="9"/>
  <c r="E13" i="9"/>
  <c r="E14" i="9"/>
  <c r="D6" i="9"/>
  <c r="D7" i="9"/>
  <c r="D8" i="9"/>
  <c r="D9" i="9"/>
  <c r="D10" i="9"/>
  <c r="D11" i="9"/>
  <c r="D12" i="9"/>
  <c r="D13" i="9"/>
  <c r="D14" i="9"/>
  <c r="E5" i="9"/>
  <c r="D5" i="9"/>
  <c r="C6" i="9"/>
  <c r="C7" i="9"/>
  <c r="C8" i="9"/>
  <c r="C9" i="9"/>
  <c r="C10" i="9"/>
  <c r="C11" i="9"/>
  <c r="C12" i="9"/>
  <c r="C13" i="9"/>
  <c r="C14" i="9"/>
  <c r="C5" i="9"/>
  <c r="I6" i="1"/>
  <c r="I7" i="1"/>
  <c r="I8" i="1"/>
  <c r="I9" i="1"/>
  <c r="I10" i="1"/>
  <c r="I11" i="1"/>
  <c r="I12" i="1"/>
  <c r="I13" i="1"/>
  <c r="I14" i="1"/>
  <c r="I15" i="1"/>
  <c r="I5" i="1"/>
  <c r="B14" i="31"/>
  <c r="B8" i="31"/>
  <c r="B13" i="31" s="1"/>
  <c r="E15" i="25" l="1"/>
  <c r="E14" i="25"/>
  <c r="E13" i="25"/>
  <c r="E12" i="25"/>
  <c r="E11" i="25"/>
  <c r="E10" i="25"/>
  <c r="E9" i="25"/>
  <c r="E8" i="25"/>
  <c r="E7" i="25"/>
  <c r="E6" i="25"/>
  <c r="E5" i="25"/>
  <c r="B15" i="20" l="1"/>
  <c r="B13" i="20"/>
  <c r="B15" i="16" l="1"/>
  <c r="D15" i="16" s="1"/>
  <c r="D14" i="16"/>
  <c r="C14" i="16"/>
  <c r="B14" i="16"/>
  <c r="D13" i="16"/>
  <c r="C13" i="16"/>
  <c r="D12" i="16"/>
  <c r="C12" i="16"/>
  <c r="D11" i="16"/>
  <c r="C11" i="16"/>
  <c r="D10" i="16"/>
  <c r="C10" i="16"/>
  <c r="D9" i="16"/>
  <c r="C9" i="16"/>
  <c r="D8" i="16"/>
  <c r="C8" i="16"/>
  <c r="D7" i="16"/>
  <c r="C7" i="16"/>
  <c r="D6" i="16"/>
  <c r="C6" i="16"/>
  <c r="D5" i="16"/>
  <c r="C5" i="16"/>
  <c r="C15" i="16" l="1"/>
  <c r="D14" i="5" l="1"/>
  <c r="G14" i="5" s="1"/>
  <c r="E13" i="3" l="1"/>
  <c r="H13" i="3" s="1"/>
  <c r="F12" i="3"/>
</calcChain>
</file>

<file path=xl/sharedStrings.xml><?xml version="1.0" encoding="utf-8"?>
<sst xmlns="http://schemas.openxmlformats.org/spreadsheetml/2006/main" count="573" uniqueCount="405">
  <si>
    <t>tolstyakoff.ru</t>
  </si>
  <si>
    <t>ДАТА</t>
  </si>
  <si>
    <t>Год</t>
  </si>
  <si>
    <t>Месяц</t>
  </si>
  <si>
    <t>День</t>
  </si>
  <si>
    <t>Результат</t>
  </si>
  <si>
    <t>ОКРУГЛ</t>
  </si>
  <si>
    <t>ОКРУГЛВВЕРХ</t>
  </si>
  <si>
    <t>ОКРУГЛВНИЗ</t>
  </si>
  <si>
    <t>ЦЕЛОЕ</t>
  </si>
  <si>
    <t>Число</t>
  </si>
  <si>
    <t>Разряды</t>
  </si>
  <si>
    <t>//округление до целого</t>
  </si>
  <si>
    <t>//до 1 знака после запятой</t>
  </si>
  <si>
    <t>//до 2 знаков после запятой</t>
  </si>
  <si>
    <t>//округление нуля</t>
  </si>
  <si>
    <t>//отрицательные числа до 1 знака после запятой</t>
  </si>
  <si>
    <t>//отрицательные числа до 2 знаков после запятой</t>
  </si>
  <si>
    <t>//округление до десятых</t>
  </si>
  <si>
    <t>//округление до сотых</t>
  </si>
  <si>
    <t>//округление до тысячных</t>
  </si>
  <si>
    <t>//округление до 10-тысячных</t>
  </si>
  <si>
    <t>СУММ</t>
  </si>
  <si>
    <t>Знач.1</t>
  </si>
  <si>
    <t>Знач.2</t>
  </si>
  <si>
    <t>Знач.3</t>
  </si>
  <si>
    <t>Знач.4</t>
  </si>
  <si>
    <t>Знач.5</t>
  </si>
  <si>
    <t>//целые числа</t>
  </si>
  <si>
    <t>//дробные числа</t>
  </si>
  <si>
    <t>//отрицательные числа</t>
  </si>
  <si>
    <t>//дата - это тоже число</t>
  </si>
  <si>
    <t>//время - это тоже число</t>
  </si>
  <si>
    <t>два</t>
  </si>
  <si>
    <t>четыре</t>
  </si>
  <si>
    <t>//текст не учитывается</t>
  </si>
  <si>
    <t>Миша</t>
  </si>
  <si>
    <t>Вася</t>
  </si>
  <si>
    <t>Петя</t>
  </si>
  <si>
    <t>Коля</t>
  </si>
  <si>
    <t>Саша</t>
  </si>
  <si>
    <t>//при наличии ошибок сумма не считается</t>
  </si>
  <si>
    <t>ПОИСК          НАЙТИ</t>
  </si>
  <si>
    <t>Искать</t>
  </si>
  <si>
    <t>Текст</t>
  </si>
  <si>
    <t>Результат ПОИСК</t>
  </si>
  <si>
    <t>Результат НАЙТИ</t>
  </si>
  <si>
    <t>С</t>
  </si>
  <si>
    <r>
      <rPr>
        <b/>
        <sz val="11"/>
        <rFont val="Calibri"/>
        <family val="2"/>
        <scheme val="minor"/>
      </rPr>
      <t>С</t>
    </r>
    <r>
      <rPr>
        <sz val="11"/>
        <color theme="1"/>
        <rFont val="Calibri"/>
        <family val="2"/>
        <scheme val="minor"/>
      </rPr>
      <t>уббота</t>
    </r>
  </si>
  <si>
    <t>// результат - номер символа</t>
  </si>
  <si>
    <t>б</t>
  </si>
  <si>
    <r>
      <t>Су</t>
    </r>
    <r>
      <rPr>
        <b/>
        <sz val="11"/>
        <color theme="1"/>
        <rFont val="Calibri"/>
        <family val="2"/>
        <scheme val="minor"/>
      </rPr>
      <t>б</t>
    </r>
    <r>
      <rPr>
        <sz val="11"/>
        <color theme="1"/>
        <rFont val="Calibri"/>
        <family val="2"/>
        <scheme val="minor"/>
      </rPr>
      <t>бота</t>
    </r>
  </si>
  <si>
    <t>// выдает 1ое вхождение</t>
  </si>
  <si>
    <t>та</t>
  </si>
  <si>
    <r>
      <t>Суббо</t>
    </r>
    <r>
      <rPr>
        <b/>
        <sz val="11"/>
        <color theme="1"/>
        <rFont val="Calibri"/>
        <family val="2"/>
        <scheme val="minor"/>
      </rPr>
      <t>та</t>
    </r>
  </si>
  <si>
    <t>// по нескольким символам</t>
  </si>
  <si>
    <t>т</t>
  </si>
  <si>
    <r>
      <rPr>
        <b/>
        <sz val="1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 xml:space="preserve">ерпенье и </t>
    </r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руд все перетрут</t>
    </r>
  </si>
  <si>
    <t>// чувствительность к регистру</t>
  </si>
  <si>
    <t>Т</t>
  </si>
  <si>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ерпенье и труд все перетрут</t>
    </r>
  </si>
  <si>
    <t>Лошадь</t>
  </si>
  <si>
    <t>// ошибка, если символ не найден</t>
  </si>
  <si>
    <t>?ер</t>
  </si>
  <si>
    <r>
      <rPr>
        <b/>
        <sz val="11"/>
        <color theme="1"/>
        <rFont val="Calibri"/>
        <family val="2"/>
        <scheme val="minor"/>
      </rPr>
      <t>Тер</t>
    </r>
    <r>
      <rPr>
        <sz val="11"/>
        <color theme="1"/>
        <rFont val="Calibri"/>
        <family val="2"/>
        <scheme val="minor"/>
      </rPr>
      <t>пенье и труд все перетрут</t>
    </r>
  </si>
  <si>
    <t>// работа с символами подстановки</t>
  </si>
  <si>
    <t>// 1, если не задан искомый текст</t>
  </si>
  <si>
    <t>:</t>
  </si>
  <si>
    <r>
      <t>Статус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готово</t>
    </r>
  </si>
  <si>
    <t>// знаки препинания считаются</t>
  </si>
  <si>
    <t>-</t>
  </si>
  <si>
    <r>
      <t>909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888-55-66</t>
    </r>
  </si>
  <si>
    <t>// позиция 1го дефиса</t>
  </si>
  <si>
    <t>// работает с числами</t>
  </si>
  <si>
    <t>СРЗНАЧ</t>
  </si>
  <si>
    <t>//ноль участвует в расчетах</t>
  </si>
  <si>
    <t>//пустые значения не учитываются</t>
  </si>
  <si>
    <t>//при наличии ошибок среднее не вычисляется</t>
  </si>
  <si>
    <t>ЕСЛИ</t>
  </si>
  <si>
    <t>Сотрудник</t>
  </si>
  <si>
    <t>Продажи</t>
  </si>
  <si>
    <t>Премия</t>
  </si>
  <si>
    <t>Бумажкин В.</t>
  </si>
  <si>
    <t>Денежкина А.</t>
  </si>
  <si>
    <t>Винтиков А.</t>
  </si>
  <si>
    <t>Колбаскина М.</t>
  </si>
  <si>
    <t>Сырник Ф.</t>
  </si>
  <si>
    <t>Котиков О.</t>
  </si>
  <si>
    <t>Собакевич Д.</t>
  </si>
  <si>
    <t>Жуликов С.</t>
  </si>
  <si>
    <t>Любимова Ю.</t>
  </si>
  <si>
    <t>Нужная А.</t>
  </si>
  <si>
    <t>Звонков П.</t>
  </si>
  <si>
    <t>СЧЁТЕСЛИ</t>
  </si>
  <si>
    <t>Ресторан</t>
  </si>
  <si>
    <t>Ср. чек</t>
  </si>
  <si>
    <t>Рейтинг (из 5)</t>
  </si>
  <si>
    <t>Бизнес-ланч</t>
  </si>
  <si>
    <t>Критерий</t>
  </si>
  <si>
    <t>Кол-во</t>
  </si>
  <si>
    <t>Балкан</t>
  </si>
  <si>
    <t>да</t>
  </si>
  <si>
    <t>Чек до 5000₽</t>
  </si>
  <si>
    <t>Дача</t>
  </si>
  <si>
    <t>нет</t>
  </si>
  <si>
    <t>Рейтинг от 4 баллов</t>
  </si>
  <si>
    <t>Италия</t>
  </si>
  <si>
    <t>С Бизнес-ланчем</t>
  </si>
  <si>
    <t>Охота</t>
  </si>
  <si>
    <t>Сиртаки</t>
  </si>
  <si>
    <t>Пизанская башня</t>
  </si>
  <si>
    <t>Япония</t>
  </si>
  <si>
    <t>НиХао</t>
  </si>
  <si>
    <t>Морской</t>
  </si>
  <si>
    <t>СУММЕСЛИ</t>
  </si>
  <si>
    <t>Город</t>
  </si>
  <si>
    <t>Тип заказчика</t>
  </si>
  <si>
    <t>Сумма заказов</t>
  </si>
  <si>
    <t>Москва</t>
  </si>
  <si>
    <t>ИП</t>
  </si>
  <si>
    <t>Санкт-Петербург</t>
  </si>
  <si>
    <t>ООО</t>
  </si>
  <si>
    <t>Владивосток</t>
  </si>
  <si>
    <t>Пермь</t>
  </si>
  <si>
    <t>Самара</t>
  </si>
  <si>
    <t>ФЛ</t>
  </si>
  <si>
    <t>ДЕНЬ</t>
  </si>
  <si>
    <t>МЕСЯЦ</t>
  </si>
  <si>
    <t>ГОД</t>
  </si>
  <si>
    <t>Дата</t>
  </si>
  <si>
    <t>И</t>
  </si>
  <si>
    <t>ИЛИ</t>
  </si>
  <si>
    <t>Цвет</t>
  </si>
  <si>
    <t>Красный</t>
  </si>
  <si>
    <t>Синий</t>
  </si>
  <si>
    <t>Желтый</t>
  </si>
  <si>
    <t>Зеленый</t>
  </si>
  <si>
    <t>СЖПРОБЕЛЫ</t>
  </si>
  <si>
    <t xml:space="preserve">Лучшее     -     враг хорошего     </t>
  </si>
  <si>
    <t>Семь   раз  отмерь - один раз    отрежь</t>
  </si>
  <si>
    <t>Слово   -  не             воробей</t>
  </si>
  <si>
    <t>Сделал     дело    -       гуляй  смело</t>
  </si>
  <si>
    <t>Цыплят      по    осени      считают</t>
  </si>
  <si>
    <t>Береги     честь    смолоду</t>
  </si>
  <si>
    <t>Семеро    одного     не        ждут</t>
  </si>
  <si>
    <t>МИН</t>
  </si>
  <si>
    <t>МАКС</t>
  </si>
  <si>
    <t>Ученик</t>
  </si>
  <si>
    <t>Баллы</t>
  </si>
  <si>
    <t>Минимальное значение</t>
  </si>
  <si>
    <t>Колбаскин</t>
  </si>
  <si>
    <t>Васечков</t>
  </si>
  <si>
    <t>Мичунин</t>
  </si>
  <si>
    <t>Умников</t>
  </si>
  <si>
    <t>Максимальное значение</t>
  </si>
  <si>
    <t>Бумажкин</t>
  </si>
  <si>
    <t>Сырник</t>
  </si>
  <si>
    <t>Котиков</t>
  </si>
  <si>
    <t>Любимова</t>
  </si>
  <si>
    <t xml:space="preserve">Звонков </t>
  </si>
  <si>
    <t>Авина</t>
  </si>
  <si>
    <t>Маканова</t>
  </si>
  <si>
    <t>ПОДСТАВИТЬ</t>
  </si>
  <si>
    <t>Старый текст</t>
  </si>
  <si>
    <t>Новый текст</t>
  </si>
  <si>
    <t>Формула</t>
  </si>
  <si>
    <t>Примечание</t>
  </si>
  <si>
    <t>Стул</t>
  </si>
  <si>
    <t>=ПОДСТАВИТЬ(B5;"у";"о")</t>
  </si>
  <si>
    <t>Меняет все "у" на "о"</t>
  </si>
  <si>
    <t>Помодор</t>
  </si>
  <si>
    <t>=ПОДСТАВИТЬ(B6;"о";"и";2)</t>
  </si>
  <si>
    <t>Меняет 2ое "о"</t>
  </si>
  <si>
    <t>Кот, кот</t>
  </si>
  <si>
    <t>=ПОДСТАВИТЬ(B7;"кот";"тигр")</t>
  </si>
  <si>
    <t>Чувствительна к регистру</t>
  </si>
  <si>
    <t>###1825##</t>
  </si>
  <si>
    <t>=ПОДСТАВИТЬ(B8;"#";"")</t>
  </si>
  <si>
    <t>Замена на пустоту</t>
  </si>
  <si>
    <t>ЛЕВСИМВ</t>
  </si>
  <si>
    <t>ПРАВСИМВ</t>
  </si>
  <si>
    <t>АБВ</t>
  </si>
  <si>
    <t>=ЛЕВСИМВ(B5)</t>
  </si>
  <si>
    <t>=ПРАВСИМВ(B6)</t>
  </si>
  <si>
    <t>Мама мыла раму</t>
  </si>
  <si>
    <t>=ЛЕВСИМВ(B8;4)</t>
  </si>
  <si>
    <t>=ПРАВСИМВ(B9;4)</t>
  </si>
  <si>
    <t>909-888-66-55</t>
  </si>
  <si>
    <t>=ЛЕВСИМВ(B11;3)</t>
  </si>
  <si>
    <t>=ПРАВСИМВ(B12;5)</t>
  </si>
  <si>
    <t>7500 221155</t>
  </si>
  <si>
    <t>=ЛЕВСИМВ(B14;4)</t>
  </si>
  <si>
    <t>=ПРАВСИМВ(B15;6)</t>
  </si>
  <si>
    <t>ДЛСТР</t>
  </si>
  <si>
    <t>Луч</t>
  </si>
  <si>
    <t>// 3 символа</t>
  </si>
  <si>
    <t xml:space="preserve">Луч </t>
  </si>
  <si>
    <t>// скрытый пробел в конце</t>
  </si>
  <si>
    <t>ЛУЧ</t>
  </si>
  <si>
    <t>// регистр не важен</t>
  </si>
  <si>
    <t>г. Усть-Кут</t>
  </si>
  <si>
    <t>// считаются пробелы и символы</t>
  </si>
  <si>
    <t>// пустая ячейка = 0</t>
  </si>
  <si>
    <t>// 4 символа</t>
  </si>
  <si>
    <t>// форматирование не считается</t>
  </si>
  <si>
    <t>// дата - это 5-значное число</t>
  </si>
  <si>
    <t>// считается запятая и знаки после</t>
  </si>
  <si>
    <t>// число длинее, чем видно</t>
  </si>
  <si>
    <t>// минус тоже считается</t>
  </si>
  <si>
    <t xml:space="preserve">СЧЁТ </t>
  </si>
  <si>
    <t>СЧЁТЗ</t>
  </si>
  <si>
    <t>Значение</t>
  </si>
  <si>
    <t>Учитывает
СЧЁТ</t>
  </si>
  <si>
    <t>Учитывает
СЧЁТЗ</t>
  </si>
  <si>
    <t>СЧЁТ</t>
  </si>
  <si>
    <t>//текст</t>
  </si>
  <si>
    <t>//число</t>
  </si>
  <si>
    <t>//проценты</t>
  </si>
  <si>
    <t>//дроби</t>
  </si>
  <si>
    <t xml:space="preserve">    </t>
  </si>
  <si>
    <t>//пробелы</t>
  </si>
  <si>
    <t>//пустая ячейка</t>
  </si>
  <si>
    <t>//дата - это число</t>
  </si>
  <si>
    <t>//время - это число</t>
  </si>
  <si>
    <t>//число как текст</t>
  </si>
  <si>
    <t>//ошибка</t>
  </si>
  <si>
    <t>СРЗНАЧЕСЛИ</t>
  </si>
  <si>
    <t>Отель</t>
  </si>
  <si>
    <t>Цена</t>
  </si>
  <si>
    <t>Завтрак</t>
  </si>
  <si>
    <t>Кол-во мест</t>
  </si>
  <si>
    <t>Среднее</t>
  </si>
  <si>
    <t>Европа</t>
  </si>
  <si>
    <t>Цена &gt;5000₽</t>
  </si>
  <si>
    <t>Сандей</t>
  </si>
  <si>
    <t>2 и более мест</t>
  </si>
  <si>
    <t>Корона</t>
  </si>
  <si>
    <t>С завтраком</t>
  </si>
  <si>
    <t>Престиж</t>
  </si>
  <si>
    <t>Усадьба</t>
  </si>
  <si>
    <t>Турист</t>
  </si>
  <si>
    <t>Алтай</t>
  </si>
  <si>
    <t>Горка</t>
  </si>
  <si>
    <t>Медведь</t>
  </si>
  <si>
    <t>СЦЕПИТЬ</t>
  </si>
  <si>
    <t>=СЦЕПИТЬ(B5;", ";C5;", ";D5)</t>
  </si>
  <si>
    <t>Результат СЦЕПИТЬ</t>
  </si>
  <si>
    <t>А</t>
  </si>
  <si>
    <t>Б</t>
  </si>
  <si>
    <t>В</t>
  </si>
  <si>
    <t>сливы</t>
  </si>
  <si>
    <t>яблоки</t>
  </si>
  <si>
    <t>груши</t>
  </si>
  <si>
    <t>красный</t>
  </si>
  <si>
    <t>синий</t>
  </si>
  <si>
    <t>зеленый</t>
  </si>
  <si>
    <t>=СЦЕПИТЬ(B11;" и ";C11)</t>
  </si>
  <si>
    <t>=СЦЕПИТЬ(D15;", ";B15;" ";C15)</t>
  </si>
  <si>
    <t>Имя</t>
  </si>
  <si>
    <t>Отчество</t>
  </si>
  <si>
    <t>Обращение</t>
  </si>
  <si>
    <t>Петр</t>
  </si>
  <si>
    <t>Петрович</t>
  </si>
  <si>
    <t>Уважаемый</t>
  </si>
  <si>
    <t>НАИБОЛЬШИЙ</t>
  </si>
  <si>
    <t>НАИМЕНЬШИЙ</t>
  </si>
  <si>
    <t>№</t>
  </si>
  <si>
    <t>Наибольшие баллы</t>
  </si>
  <si>
    <t>Наименьшие баллы</t>
  </si>
  <si>
    <t>СЧИТАТЬПУСТОТЫ</t>
  </si>
  <si>
    <t>Пустых значений</t>
  </si>
  <si>
    <t>Холодильник</t>
  </si>
  <si>
    <t>Фен</t>
  </si>
  <si>
    <t xml:space="preserve"> </t>
  </si>
  <si>
    <t>//пробел</t>
  </si>
  <si>
    <t>//результат вычисления =""</t>
  </si>
  <si>
    <t>ВПР</t>
  </si>
  <si>
    <t>Артикул</t>
  </si>
  <si>
    <t>Название товара</t>
  </si>
  <si>
    <t>Продано, шт.</t>
  </si>
  <si>
    <t>Цена, руб.</t>
  </si>
  <si>
    <t>Джинсы</t>
  </si>
  <si>
    <t>Кроссовки</t>
  </si>
  <si>
    <t>Футболка</t>
  </si>
  <si>
    <t>Рубашка</t>
  </si>
  <si>
    <t>Куртка</t>
  </si>
  <si>
    <t>Носки</t>
  </si>
  <si>
    <t>Костюм</t>
  </si>
  <si>
    <t>Брюки</t>
  </si>
  <si>
    <t>Толстовка</t>
  </si>
  <si>
    <t>Ветровка</t>
  </si>
  <si>
    <t>Ботинки</t>
  </si>
  <si>
    <t>ЕСЛИОШИБКА</t>
  </si>
  <si>
    <t>Сумма</t>
  </si>
  <si>
    <t>Количество</t>
  </si>
  <si>
    <t>Средняя цена</t>
  </si>
  <si>
    <t>// скрывает ошибку #ДЕЛ/0!</t>
  </si>
  <si>
    <t>ПОИСКПОЗ</t>
  </si>
  <si>
    <t>ИНДЕКС</t>
  </si>
  <si>
    <t>Название</t>
  </si>
  <si>
    <t>Высота</t>
  </si>
  <si>
    <t>Место</t>
  </si>
  <si>
    <t>Бурдж-Халифа</t>
  </si>
  <si>
    <t>Дубай</t>
  </si>
  <si>
    <t>Merdeka 118</t>
  </si>
  <si>
    <t>Куала-Лумпур</t>
  </si>
  <si>
    <t>Tokyo Skytree</t>
  </si>
  <si>
    <t>Токио</t>
  </si>
  <si>
    <t>Шанхайская башня</t>
  </si>
  <si>
    <t>Шанхай</t>
  </si>
  <si>
    <t>Телерадиомачта KVLY-TV</t>
  </si>
  <si>
    <t>округ Трейлл</t>
  </si>
  <si>
    <t>Телебашня Гуанчжоу</t>
  </si>
  <si>
    <t>Гуанчжоу</t>
  </si>
  <si>
    <t>Королевская часовая башня</t>
  </si>
  <si>
    <t>Мекка</t>
  </si>
  <si>
    <t>Goldin Finance 117</t>
  </si>
  <si>
    <t>Тяньцзинь</t>
  </si>
  <si>
    <t>Башня Lotte World</t>
  </si>
  <si>
    <t>Сеул</t>
  </si>
  <si>
    <t>Си-Эн Тауэр</t>
  </si>
  <si>
    <t>Торонто</t>
  </si>
  <si>
    <t>Останкинская телебашня</t>
  </si>
  <si>
    <t>РАНГ</t>
  </si>
  <si>
    <t>ЗАМЕНИТЬ</t>
  </si>
  <si>
    <t>Текст 1</t>
  </si>
  <si>
    <t>Текст 2</t>
  </si>
  <si>
    <t>ФГС-2025-01</t>
  </si>
  <si>
    <t>ФГС-2025-02</t>
  </si>
  <si>
    <t>ФГС-2025-03</t>
  </si>
  <si>
    <t>ААБ-2025-001</t>
  </si>
  <si>
    <t>ААБ-2025-002</t>
  </si>
  <si>
    <t>ААБ-2025-003</t>
  </si>
  <si>
    <t>ААБ-2025-004</t>
  </si>
  <si>
    <t>НАР-2025-875</t>
  </si>
  <si>
    <t>НАР-2025-876</t>
  </si>
  <si>
    <t>НАР-2025-877</t>
  </si>
  <si>
    <t>ПУИ-2025-003</t>
  </si>
  <si>
    <t>ПУИ-2025-004</t>
  </si>
  <si>
    <t>СЕГОДНЯ</t>
  </si>
  <si>
    <t>=СЕГОДНЯ ()</t>
  </si>
  <si>
    <t>// текущая дата</t>
  </si>
  <si>
    <t>=СЕГОДНЯ () -7</t>
  </si>
  <si>
    <t>// за неделю до текущей даты</t>
  </si>
  <si>
    <t>=СЕГОДНЯ () +7</t>
  </si>
  <si>
    <t>// через неделю от текущей даты</t>
  </si>
  <si>
    <t>=СЕГОДНЯ () + 90</t>
  </si>
  <si>
    <t>// через 90 дней от текущей даты</t>
  </si>
  <si>
    <t>=ДАТАМЕС ( СЕГОДНЯ () ; 3 )</t>
  </si>
  <si>
    <t>// через 3 месяца от текущей даты</t>
  </si>
  <si>
    <t>=ДАТАМЕС ( СЕГОДНЯ () ; 12 )</t>
  </si>
  <si>
    <t>// через 1 год от текущей даты</t>
  </si>
  <si>
    <t>=ДАТАМЕС ( СЕГОДНЯ () ; -12 )</t>
  </si>
  <si>
    <t>// за 1 год от текущей даты</t>
  </si>
  <si>
    <t>=КОНМЕСЯЦА ( СЕГОДНЯ () ; 0 )</t>
  </si>
  <si>
    <t>// конец текущего месяца</t>
  </si>
  <si>
    <t xml:space="preserve">=КОНМЕСЯЦА ( СЕГОДНЯ () ; -1 ) +1 </t>
  </si>
  <si>
    <t>// первый день текущего месяца</t>
  </si>
  <si>
    <t>=СЕГОДНЯ () + ВРЕМЯ ( 18 ; 0 ; 0 )</t>
  </si>
  <si>
    <t>// сегодня в 18:00</t>
  </si>
  <si>
    <t>=СЕГОДНЯ () + 1 + ВРЕМЯ ( 12 ; 0 ; 0 )</t>
  </si>
  <si>
    <t>// завтра в 12:00</t>
  </si>
  <si>
    <t>ДАТАМЕС</t>
  </si>
  <si>
    <t>Месяцы</t>
  </si>
  <si>
    <t>// через 1 месяц</t>
  </si>
  <si>
    <t>// через 2 месяца</t>
  </si>
  <si>
    <t>// через 3 месяца</t>
  </si>
  <si>
    <t>// за 1 месяц</t>
  </si>
  <si>
    <t>// за 2 месяца</t>
  </si>
  <si>
    <t>// за 3 месяца</t>
  </si>
  <si>
    <t>// находит последний день месяца</t>
  </si>
  <si>
    <t>// не учитывает дроби</t>
  </si>
  <si>
    <t>// через 1 год</t>
  </si>
  <si>
    <t>// через 2 года</t>
  </si>
  <si>
    <t>// через 10 лет</t>
  </si>
  <si>
    <t>// за 5 лет</t>
  </si>
  <si>
    <t>ТДАТА</t>
  </si>
  <si>
    <t>Дата Время</t>
  </si>
  <si>
    <t>=ТДАТА()</t>
  </si>
  <si>
    <t>//Аналогично, но + время</t>
  </si>
  <si>
    <t xml:space="preserve">СТРОЧН </t>
  </si>
  <si>
    <t xml:space="preserve">ПРОПНАЧ </t>
  </si>
  <si>
    <t xml:space="preserve">ПРОПИСН                   </t>
  </si>
  <si>
    <t>ПРОПИСН</t>
  </si>
  <si>
    <t>КНигА</t>
  </si>
  <si>
    <t>книГА</t>
  </si>
  <si>
    <t>а.с. Пушкин</t>
  </si>
  <si>
    <t>яблоки, Груши</t>
  </si>
  <si>
    <t>ИК-0002536</t>
  </si>
  <si>
    <t>ИК-0002536-чб</t>
  </si>
  <si>
    <t>// числа не меняются</t>
  </si>
  <si>
    <t>// форматирование исчезло</t>
  </si>
  <si>
    <t>ЕПУСТО</t>
  </si>
  <si>
    <t>ЕТЕКСТ</t>
  </si>
  <si>
    <t>ЕЧИСЛО</t>
  </si>
  <si>
    <t>// текст</t>
  </si>
  <si>
    <t>// пустая ячейка</t>
  </si>
  <si>
    <t>// ячейка с пробелом</t>
  </si>
  <si>
    <t>// ячейка с формулой</t>
  </si>
  <si>
    <t>// число</t>
  </si>
  <si>
    <t>100 000</t>
  </si>
  <si>
    <t>// число как текст</t>
  </si>
  <si>
    <t>// дата - это число</t>
  </si>
  <si>
    <t>// время - это число</t>
  </si>
  <si>
    <t>//ошибки - не текст и не число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</si>
</sst>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"/>
    <numFmt numFmtId="166" formatCode="#,##0\ &quot;₽&quot;"/>
    <numFmt numFmtId="167" formatCode="dd/mm/yy\ h:mm;@"/>
    <numFmt numFmtId="168" formatCode="0.00000000000000000000"/>
    <numFmt numFmtId="169" formatCode="#,##0.00\ &quot;₽&quot;"/>
    <numFmt numFmtId="170" formatCode="0.0000000"/>
    <numFmt numFmtId="171" formatCode="#,##0.0"/>
    <numFmt numFmtId="172" formatCode="dd/mm/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6E40"/>
      <name val="Calibri"/>
      <family val="2"/>
      <charset val="204"/>
      <scheme val="minor"/>
    </font>
    <font>
      <b/>
      <sz val="12"/>
      <color rgb="FFFF6E40"/>
      <name val="Calibri"/>
      <family val="2"/>
      <scheme val="minor"/>
    </font>
    <font>
      <b/>
      <sz val="11"/>
      <color rgb="FFFF6E4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Arial Black"/>
      <family val="2"/>
      <charset val="204"/>
    </font>
    <font>
      <sz val="10"/>
      <color theme="1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rgb="FFE25896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1" fillId="0" borderId="0"/>
  </cellStyleXfs>
  <cellXfs count="102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14" fontId="0" fillId="2" borderId="1" xfId="0" applyNumberFormat="1" applyFill="1" applyBorder="1"/>
    <xf numFmtId="0" fontId="6" fillId="0" borderId="0" xfId="2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2" fontId="0" fillId="2" borderId="1" xfId="0" applyNumberFormat="1" applyFill="1" applyBorder="1"/>
    <xf numFmtId="14" fontId="0" fillId="0" borderId="0" xfId="0" applyNumberFormat="1"/>
    <xf numFmtId="164" fontId="0" fillId="0" borderId="1" xfId="0" applyNumberFormat="1" applyBorder="1"/>
    <xf numFmtId="1" fontId="0" fillId="0" borderId="1" xfId="0" applyNumberFormat="1" applyBorder="1"/>
    <xf numFmtId="0" fontId="1" fillId="0" borderId="0" xfId="3"/>
    <xf numFmtId="0" fontId="6" fillId="0" borderId="0" xfId="4"/>
    <xf numFmtId="0" fontId="3" fillId="0" borderId="0" xfId="3" applyFont="1"/>
    <xf numFmtId="0" fontId="3" fillId="0" borderId="0" xfId="3" applyFont="1" applyAlignment="1">
      <alignment horizontal="left"/>
    </xf>
    <xf numFmtId="0" fontId="1" fillId="0" borderId="0" xfId="3" quotePrefix="1" applyAlignment="1">
      <alignment horizontal="left"/>
    </xf>
    <xf numFmtId="0" fontId="3" fillId="0" borderId="0" xfId="3" applyFont="1" applyAlignment="1">
      <alignment horizontal="right"/>
    </xf>
    <xf numFmtId="0" fontId="4" fillId="0" borderId="0" xfId="3" applyFont="1"/>
    <xf numFmtId="0" fontId="1" fillId="0" borderId="1" xfId="3" applyBorder="1"/>
    <xf numFmtId="1" fontId="1" fillId="0" borderId="1" xfId="3" applyNumberFormat="1" applyBorder="1"/>
    <xf numFmtId="165" fontId="1" fillId="0" borderId="1" xfId="3" applyNumberFormat="1" applyBorder="1"/>
    <xf numFmtId="14" fontId="7" fillId="0" borderId="1" xfId="3" applyNumberFormat="1" applyFont="1" applyBorder="1"/>
    <xf numFmtId="20" fontId="1" fillId="0" borderId="1" xfId="3" applyNumberFormat="1" applyBorder="1"/>
    <xf numFmtId="166" fontId="2" fillId="0" borderId="1" xfId="0" applyNumberFormat="1" applyFont="1" applyBorder="1"/>
    <xf numFmtId="0" fontId="0" fillId="2" borderId="1" xfId="0" applyFill="1" applyBorder="1"/>
    <xf numFmtId="166" fontId="0" fillId="0" borderId="1" xfId="0" applyNumberFormat="1" applyBorder="1"/>
    <xf numFmtId="0" fontId="0" fillId="3" borderId="1" xfId="0" applyFill="1" applyBorder="1"/>
    <xf numFmtId="0" fontId="1" fillId="0" borderId="0" xfId="5"/>
    <xf numFmtId="0" fontId="3" fillId="0" borderId="0" xfId="5" applyFont="1"/>
    <xf numFmtId="0" fontId="3" fillId="0" borderId="0" xfId="5" applyFont="1" applyAlignment="1">
      <alignment horizontal="center"/>
    </xf>
    <xf numFmtId="0" fontId="3" fillId="0" borderId="0" xfId="5" applyFont="1" applyAlignment="1">
      <alignment horizontal="right"/>
    </xf>
    <xf numFmtId="0" fontId="4" fillId="0" borderId="0" xfId="5" applyFont="1"/>
    <xf numFmtId="0" fontId="1" fillId="0" borderId="1" xfId="5" applyBorder="1"/>
    <xf numFmtId="2" fontId="1" fillId="2" borderId="1" xfId="5" applyNumberFormat="1" applyFill="1" applyBorder="1"/>
    <xf numFmtId="1" fontId="1" fillId="0" borderId="1" xfId="5" applyNumberFormat="1" applyBorder="1"/>
    <xf numFmtId="14" fontId="7" fillId="0" borderId="1" xfId="5" applyNumberFormat="1" applyFont="1" applyBorder="1"/>
    <xf numFmtId="20" fontId="1" fillId="0" borderId="1" xfId="5" applyNumberFormat="1" applyBorder="1"/>
    <xf numFmtId="14" fontId="0" fillId="0" borderId="1" xfId="0" applyNumberFormat="1" applyBorder="1"/>
    <xf numFmtId="166" fontId="0" fillId="0" borderId="1" xfId="0" quotePrefix="1" applyNumberFormat="1" applyBorder="1"/>
    <xf numFmtId="14" fontId="0" fillId="2" borderId="1" xfId="0" quotePrefix="1" applyNumberFormat="1" applyFill="1" applyBorder="1"/>
    <xf numFmtId="167" fontId="0" fillId="0" borderId="1" xfId="0" applyNumberFormat="1" applyBorder="1"/>
    <xf numFmtId="0" fontId="3" fillId="0" borderId="0" xfId="0" applyFont="1" applyAlignment="1">
      <alignment horizontal="right"/>
    </xf>
    <xf numFmtId="0" fontId="5" fillId="4" borderId="1" xfId="0" applyFont="1" applyFill="1" applyBorder="1" applyAlignment="1">
      <alignment horizontal="center" vertical="center"/>
    </xf>
    <xf numFmtId="2" fontId="0" fillId="0" borderId="1" xfId="0" applyNumberFormat="1" applyBorder="1"/>
    <xf numFmtId="0" fontId="5" fillId="4" borderId="1" xfId="0" applyFont="1" applyFill="1" applyBorder="1" applyAlignment="1">
      <alignment horizontal="left" vertical="center"/>
    </xf>
    <xf numFmtId="3" fontId="0" fillId="3" borderId="1" xfId="0" applyNumberFormat="1" applyFill="1" applyBorder="1"/>
    <xf numFmtId="3" fontId="0" fillId="2" borderId="1" xfId="0" applyNumberFormat="1" applyFill="1" applyBorder="1"/>
    <xf numFmtId="1" fontId="0" fillId="3" borderId="1" xfId="0" applyNumberFormat="1" applyFill="1" applyBorder="1"/>
    <xf numFmtId="0" fontId="10" fillId="0" borderId="0" xfId="0" applyFont="1"/>
    <xf numFmtId="9" fontId="0" fillId="0" borderId="1" xfId="1" applyFont="1" applyBorder="1"/>
    <xf numFmtId="166" fontId="0" fillId="2" borderId="1" xfId="0" applyNumberFormat="1" applyFill="1" applyBorder="1"/>
    <xf numFmtId="0" fontId="4" fillId="0" borderId="1" xfId="0" applyFont="1" applyBorder="1"/>
    <xf numFmtId="3" fontId="0" fillId="0" borderId="1" xfId="0" quotePrefix="1" applyNumberFormat="1" applyBorder="1"/>
    <xf numFmtId="168" fontId="0" fillId="0" borderId="0" xfId="0" applyNumberFormat="1"/>
    <xf numFmtId="169" fontId="0" fillId="0" borderId="1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21" fontId="0" fillId="0" borderId="1" xfId="0" applyNumberFormat="1" applyBorder="1"/>
    <xf numFmtId="0" fontId="4" fillId="0" borderId="0" xfId="0" quotePrefix="1" applyFont="1"/>
    <xf numFmtId="0" fontId="11" fillId="0" borderId="0" xfId="0" applyFont="1"/>
    <xf numFmtId="9" fontId="0" fillId="0" borderId="1" xfId="0" applyNumberFormat="1" applyBorder="1"/>
    <xf numFmtId="0" fontId="9" fillId="0" borderId="0" xfId="0" applyFont="1"/>
    <xf numFmtId="0" fontId="12" fillId="0" borderId="0" xfId="0" applyFont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0" fillId="0" borderId="1" xfId="0" quotePrefix="1" applyBorder="1"/>
    <xf numFmtId="3" fontId="0" fillId="3" borderId="1" xfId="0" quotePrefix="1" applyNumberFormat="1" applyFill="1" applyBorder="1"/>
    <xf numFmtId="3" fontId="0" fillId="2" borderId="1" xfId="0" quotePrefix="1" applyNumberFormat="1" applyFill="1" applyBorder="1"/>
    <xf numFmtId="0" fontId="0" fillId="0" borderId="0" xfId="0" applyAlignment="1">
      <alignment vertical="center"/>
    </xf>
    <xf numFmtId="166" fontId="0" fillId="0" borderId="0" xfId="0" applyNumberFormat="1"/>
    <xf numFmtId="0" fontId="4" fillId="0" borderId="0" xfId="0" quotePrefix="1" applyFont="1" applyAlignment="1">
      <alignment horizontal="left" indent="2"/>
    </xf>
    <xf numFmtId="0" fontId="0" fillId="0" borderId="0" xfId="0" applyAlignment="1">
      <alignment horizontal="left"/>
    </xf>
    <xf numFmtId="0" fontId="2" fillId="0" borderId="1" xfId="0" applyFont="1" applyBorder="1"/>
    <xf numFmtId="171" fontId="0" fillId="0" borderId="1" xfId="0" quotePrefix="1" applyNumberFormat="1" applyBorder="1"/>
    <xf numFmtId="165" fontId="13" fillId="2" borderId="0" xfId="0" applyNumberFormat="1" applyFont="1" applyFill="1"/>
    <xf numFmtId="0" fontId="0" fillId="2" borderId="1" xfId="0" quotePrefix="1" applyFill="1" applyBorder="1"/>
    <xf numFmtId="0" fontId="2" fillId="0" borderId="0" xfId="0" applyFont="1"/>
    <xf numFmtId="14" fontId="0" fillId="0" borderId="1" xfId="0" quotePrefix="1" applyNumberFormat="1" applyBorder="1"/>
    <xf numFmtId="167" fontId="0" fillId="2" borderId="1" xfId="0" applyNumberFormat="1" applyFill="1" applyBorder="1"/>
    <xf numFmtId="167" fontId="0" fillId="0" borderId="1" xfId="0" quotePrefix="1" applyNumberFormat="1" applyBorder="1"/>
    <xf numFmtId="172" fontId="0" fillId="0" borderId="0" xfId="0" applyNumberFormat="1"/>
    <xf numFmtId="22" fontId="0" fillId="0" borderId="0" xfId="0" applyNumberFormat="1"/>
    <xf numFmtId="22" fontId="0" fillId="0" borderId="0" xfId="0" quotePrefix="1" applyNumberFormat="1"/>
    <xf numFmtId="3" fontId="0" fillId="0" borderId="1" xfId="0" applyNumberFormat="1" applyBorder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3" applyFont="1" applyFill="1" applyBorder="1" applyAlignment="1">
      <alignment horizontal="center" vertical="center"/>
    </xf>
    <xf numFmtId="0" fontId="5" fillId="5" borderId="2" xfId="3" applyFont="1" applyFill="1" applyBorder="1" applyAlignment="1">
      <alignment horizontal="center" vertical="center"/>
    </xf>
    <xf numFmtId="0" fontId="5" fillId="5" borderId="1" xfId="5" applyFont="1" applyFill="1" applyBorder="1" applyAlignment="1">
      <alignment horizontal="center" vertical="center"/>
    </xf>
    <xf numFmtId="0" fontId="5" fillId="5" borderId="2" xfId="5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14" fillId="0" borderId="0" xfId="0" quotePrefix="1" applyFont="1"/>
    <xf numFmtId="0" fontId="15" fillId="0" borderId="0" xfId="0" applyFont="1" applyAlignment="1">
      <alignment horizontal="center" vertical="center"/>
    </xf>
    <xf numFmtId="164" fontId="0" fillId="2" borderId="1" xfId="0" applyNumberFormat="1" applyFill="1" applyBorder="1"/>
    <xf numFmtId="165" fontId="0" fillId="2" borderId="1" xfId="0" applyNumberFormat="1" applyFill="1" applyBorder="1"/>
    <xf numFmtId="1" fontId="0" fillId="2" borderId="1" xfId="0" applyNumberFormat="1" applyFill="1" applyBorder="1"/>
    <xf numFmtId="1" fontId="1" fillId="2" borderId="1" xfId="3" applyNumberForma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</cellXfs>
  <cellStyles count="6">
    <cellStyle name="Гиперссылка" xfId="2" builtinId="8"/>
    <cellStyle name="Гиперссылка 2" xfId="4" xr:uid="{00000000-0005-0000-0000-000001000000}"/>
    <cellStyle name="Обычный" xfId="0" builtinId="0"/>
    <cellStyle name="Обычный 2" xfId="3" xr:uid="{00000000-0005-0000-0000-000003000000}"/>
    <cellStyle name="Обычный 3" xfId="5" xr:uid="{00000000-0005-0000-0000-000004000000}"/>
    <cellStyle name="Процентный" xfId="1" builtinId="5"/>
  </cellStyles>
  <dxfs count="4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Medium9"/>
  <colors>
    <mruColors>
      <color rgb="FFDDDDDD"/>
      <color rgb="FFE25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168165</xdr:rowOff>
    </xdr:from>
    <xdr:to>
      <xdr:col>3</xdr:col>
      <xdr:colOff>572218</xdr:colOff>
      <xdr:row>9</xdr:row>
      <xdr:rowOff>168165</xdr:rowOff>
    </xdr:to>
    <xdr:sp macro="" textlink="">
      <xdr:nvSpPr>
        <xdr:cNvPr id="3" name="Прямоугольник: скругленные углы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635875"/>
          <a:ext cx="2438401" cy="130328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ДАТА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соберите год, месяц и день в цельную дату.</a:t>
          </a:r>
        </a:p>
      </xdr:txBody>
    </xdr:sp>
    <xdr:clientData/>
  </xdr:twoCellAnchor>
  <xdr:twoCellAnchor>
    <xdr:from>
      <xdr:col>0</xdr:col>
      <xdr:colOff>24055</xdr:colOff>
      <xdr:row>0</xdr:row>
      <xdr:rowOff>2199</xdr:rowOff>
    </xdr:from>
    <xdr:to>
      <xdr:col>0</xdr:col>
      <xdr:colOff>543792</xdr:colOff>
      <xdr:row>1</xdr:row>
      <xdr:rowOff>0</xdr:rowOff>
    </xdr:to>
    <xdr:sp macro="" textlink="">
      <xdr:nvSpPr>
        <xdr:cNvPr id="5" name="Скругленный прямоугольни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4055" y="2199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1</xdr:rowOff>
    </xdr:from>
    <xdr:to>
      <xdr:col>11</xdr:col>
      <xdr:colOff>0</xdr:colOff>
      <xdr:row>7</xdr:row>
      <xdr:rowOff>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73980" y="632461"/>
          <a:ext cx="3208020" cy="74676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даты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выделите день, месяц и год.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26504</xdr:colOff>
      <xdr:row>0</xdr:row>
      <xdr:rowOff>6625</xdr:rowOff>
    </xdr:from>
    <xdr:to>
      <xdr:col>0</xdr:col>
      <xdr:colOff>546241</xdr:colOff>
      <xdr:row>1</xdr:row>
      <xdr:rowOff>2469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6504" y="6625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10</xdr:col>
      <xdr:colOff>0</xdr:colOff>
      <xdr:row>12</xdr:row>
      <xdr:rowOff>43813</xdr:rowOff>
    </xdr:to>
    <xdr:sp macro="" textlink="">
      <xdr:nvSpPr>
        <xdr:cNvPr id="2" name="Прямоугольник: скругленные углы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4404360" y="632460"/>
          <a:ext cx="3208020" cy="170497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формул поставьте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 столбце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Премия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напротив сотрудников, совершивших продаж на 90 000 руб. и более;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Нет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если условие не выполнено.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премию получают 6 человек.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256673</xdr:colOff>
      <xdr:row>4</xdr:row>
      <xdr:rowOff>953</xdr:rowOff>
    </xdr:from>
    <xdr:to>
      <xdr:col>11</xdr:col>
      <xdr:colOff>26168</xdr:colOff>
      <xdr:row>7</xdr:row>
      <xdr:rowOff>27623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4782953" y="816293"/>
          <a:ext cx="332041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"Кол-во"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больше 100 И меньше 130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317658</xdr:colOff>
      <xdr:row>9</xdr:row>
      <xdr:rowOff>7620</xdr:rowOff>
    </xdr:from>
    <xdr:to>
      <xdr:col>10</xdr:col>
      <xdr:colOff>574782</xdr:colOff>
      <xdr:row>12</xdr:row>
      <xdr:rowOff>30480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4843938" y="1699260"/>
          <a:ext cx="3137484" cy="548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ИЛИ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"Цвет"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является "Красным" ИЛИ "Синим"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8</xdr:row>
      <xdr:rowOff>0</xdr:rowOff>
    </xdr:from>
    <xdr:to>
      <xdr:col>10</xdr:col>
      <xdr:colOff>0</xdr:colOff>
      <xdr:row>15</xdr:row>
      <xdr:rowOff>182879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4991100" y="1562100"/>
          <a:ext cx="3284220" cy="1463039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СЧЁТЕСЛИ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посчитайте количество ресторанов, соответствующих  условиям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6; 4; 3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13</xdr:row>
      <xdr:rowOff>0</xdr:rowOff>
    </xdr:from>
    <xdr:to>
      <xdr:col>2</xdr:col>
      <xdr:colOff>358140</xdr:colOff>
      <xdr:row>15</xdr:row>
      <xdr:rowOff>45720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525780" y="2476500"/>
          <a:ext cx="1592580" cy="411480"/>
          <a:chOff x="525780" y="2457450"/>
          <a:chExt cx="1480185" cy="40767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SpPr txBox="1"/>
        </xdr:nvSpPr>
        <xdr:spPr>
          <a:xfrm>
            <a:off x="525780" y="24574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1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 txBox="1"/>
        </xdr:nvSpPr>
        <xdr:spPr>
          <a:xfrm>
            <a:off x="731520" y="2457450"/>
            <a:ext cx="1274445" cy="4076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</a:t>
            </a:r>
          </a:p>
        </xdr:txBody>
      </xdr:sp>
    </xdr:grpSp>
    <xdr:clientData/>
  </xdr:twoCellAnchor>
  <xdr:twoCellAnchor>
    <xdr:from>
      <xdr:col>3</xdr:col>
      <xdr:colOff>7620</xdr:colOff>
      <xdr:row>13</xdr:row>
      <xdr:rowOff>0</xdr:rowOff>
    </xdr:from>
    <xdr:to>
      <xdr:col>4</xdr:col>
      <xdr:colOff>388620</xdr:colOff>
      <xdr:row>16</xdr:row>
      <xdr:rowOff>114300</xdr:rowOff>
    </xdr:to>
    <xdr:grpSp>
      <xdr:nvGrpSpPr>
        <xdr:cNvPr id="5" name="Группа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/>
      </xdr:nvGrpSpPr>
      <xdr:grpSpPr>
        <a:xfrm>
          <a:off x="2903220" y="2476500"/>
          <a:ext cx="1569720" cy="662940"/>
          <a:chOff x="2674620" y="2457450"/>
          <a:chExt cx="1447800" cy="657225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 txBox="1"/>
        </xdr:nvSpPr>
        <xdr:spPr>
          <a:xfrm>
            <a:off x="2674620" y="248031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3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2849880" y="2457450"/>
            <a:ext cx="1272540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 суммирования</a:t>
            </a:r>
          </a:p>
        </xdr:txBody>
      </xdr:sp>
    </xdr:grpSp>
    <xdr:clientData/>
  </xdr:twoCellAnchor>
  <xdr:twoCellAnchor>
    <xdr:from>
      <xdr:col>5</xdr:col>
      <xdr:colOff>495300</xdr:colOff>
      <xdr:row>5</xdr:row>
      <xdr:rowOff>0</xdr:rowOff>
    </xdr:from>
    <xdr:to>
      <xdr:col>8</xdr:col>
      <xdr:colOff>15240</xdr:colOff>
      <xdr:row>8</xdr:row>
      <xdr:rowOff>129540</xdr:rowOff>
    </xdr:to>
    <xdr:grpSp>
      <xdr:nvGrpSpPr>
        <xdr:cNvPr id="8" name="Группа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pSpPr/>
      </xdr:nvGrpSpPr>
      <xdr:grpSpPr>
        <a:xfrm>
          <a:off x="5135880" y="1013460"/>
          <a:ext cx="1882140" cy="678180"/>
          <a:chOff x="4733925" y="1009650"/>
          <a:chExt cx="1648778" cy="672465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 txBox="1"/>
        </xdr:nvSpPr>
        <xdr:spPr>
          <a:xfrm>
            <a:off x="4733925" y="10096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2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 txBox="1"/>
        </xdr:nvSpPr>
        <xdr:spPr>
          <a:xfrm>
            <a:off x="4939665" y="1024890"/>
            <a:ext cx="1443038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Критерий</a:t>
            </a:r>
          </a:p>
        </xdr:txBody>
      </xdr:sp>
    </xdr:grpSp>
    <xdr:clientData/>
  </xdr:twoCellAnchor>
  <xdr:twoCellAnchor>
    <xdr:from>
      <xdr:col>5</xdr:col>
      <xdr:colOff>404813</xdr:colOff>
      <xdr:row>8</xdr:row>
      <xdr:rowOff>66675</xdr:rowOff>
    </xdr:from>
    <xdr:to>
      <xdr:col>11</xdr:col>
      <xdr:colOff>420053</xdr:colOff>
      <xdr:row>16</xdr:row>
      <xdr:rowOff>45720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/>
      </xdr:nvSpPr>
      <xdr:spPr>
        <a:xfrm>
          <a:off x="5106353" y="1583055"/>
          <a:ext cx="4389120" cy="1381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Сумма всех заказов из "Москвы" - 33 000.</a:t>
          </a:r>
        </a:p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1. Диапазон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B:B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2. Критерий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G5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3. Диапазон суммирования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D:D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19049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439674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МИН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МАКС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вычислите минимальный и максимальный балл из списка.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9</xdr:col>
      <xdr:colOff>337184</xdr:colOff>
      <xdr:row>10</xdr:row>
      <xdr:rowOff>23813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4533900" y="632460"/>
          <a:ext cx="3095624" cy="131921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приведенного списка создайте актуальный список кодов для 2026 года, используя функцию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ЗАМЕНИТЬ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594360</xdr:colOff>
      <xdr:row>3</xdr:row>
      <xdr:rowOff>0</xdr:rowOff>
    </xdr:from>
    <xdr:to>
      <xdr:col>12</xdr:col>
      <xdr:colOff>3809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482346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НАИБОЛЬШИЙ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НАИМЕНЬШИЙ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составьте рейтинг 3х самых высоких и самых низких баллов.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462193</xdr:colOff>
      <xdr:row>15</xdr:row>
      <xdr:rowOff>24701</xdr:rowOff>
    </xdr:from>
    <xdr:to>
      <xdr:col>5</xdr:col>
      <xdr:colOff>233593</xdr:colOff>
      <xdr:row>20</xdr:row>
      <xdr:rowOff>55181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pSpPr/>
      </xdr:nvGrpSpPr>
      <xdr:grpSpPr>
        <a:xfrm>
          <a:off x="462193" y="2866961"/>
          <a:ext cx="4953000" cy="944880"/>
          <a:chOff x="693420" y="2904534"/>
          <a:chExt cx="4495800" cy="950135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1900-000003000000}"/>
              </a:ext>
            </a:extLst>
          </xdr:cNvPr>
          <xdr:cNvSpPr txBox="1"/>
        </xdr:nvSpPr>
        <xdr:spPr>
          <a:xfrm>
            <a:off x="693420" y="2912154"/>
            <a:ext cx="1432034" cy="94251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Поиск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искомого значения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SpPr txBox="1"/>
        </xdr:nvSpPr>
        <xdr:spPr>
          <a:xfrm>
            <a:off x="3917468" y="2904534"/>
            <a:ext cx="1271752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Столбец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результатов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5" name="Прямая со стрелкой 4">
            <a:extLst>
              <a:ext uri="{FF2B5EF4-FFF2-40B4-BE49-F238E27FC236}">
                <a16:creationId xmlns:a16="http://schemas.microsoft.com/office/drawing/2014/main" id="{00000000-0008-0000-1900-000005000000}"/>
              </a:ext>
            </a:extLst>
          </xdr:cNvPr>
          <xdr:cNvCxnSpPr/>
        </xdr:nvCxnSpPr>
        <xdr:spPr>
          <a:xfrm>
            <a:off x="2178794" y="3164665"/>
            <a:ext cx="1485375" cy="0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78039</xdr:colOff>
      <xdr:row>5</xdr:row>
      <xdr:rowOff>63062</xdr:rowOff>
    </xdr:from>
    <xdr:to>
      <xdr:col>7</xdr:col>
      <xdr:colOff>230439</xdr:colOff>
      <xdr:row>11</xdr:row>
      <xdr:rowOff>1051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GrpSpPr/>
      </xdr:nvGrpSpPr>
      <xdr:grpSpPr>
        <a:xfrm>
          <a:off x="5869239" y="1076522"/>
          <a:ext cx="1264920" cy="1035269"/>
          <a:chOff x="5433060" y="1057603"/>
          <a:chExt cx="1150883" cy="1041576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900-000007000000}"/>
              </a:ext>
            </a:extLst>
          </xdr:cNvPr>
          <xdr:cNvSpPr txBox="1"/>
        </xdr:nvSpPr>
        <xdr:spPr>
          <a:xfrm>
            <a:off x="5433060" y="1402606"/>
            <a:ext cx="1150883" cy="69657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Искомое значение</a:t>
            </a:r>
          </a:p>
        </xdr:txBody>
      </xdr:sp>
      <xdr:cxnSp macro="">
        <xdr:nvCxnSpPr>
          <xdr:cNvPr id="8" name="Прямая со стрелкой 7">
            <a:extLst>
              <a:ext uri="{FF2B5EF4-FFF2-40B4-BE49-F238E27FC236}">
                <a16:creationId xmlns:a16="http://schemas.microsoft.com/office/drawing/2014/main" id="{00000000-0008-0000-1900-000008000000}"/>
              </a:ext>
            </a:extLst>
          </xdr:cNvPr>
          <xdr:cNvCxnSpPr/>
        </xdr:nvCxnSpPr>
        <xdr:spPr>
          <a:xfrm flipV="1">
            <a:off x="5897880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266700</xdr:colOff>
      <xdr:row>5</xdr:row>
      <xdr:rowOff>74886</xdr:rowOff>
    </xdr:from>
    <xdr:to>
      <xdr:col>8</xdr:col>
      <xdr:colOff>426720</xdr:colOff>
      <xdr:row>11</xdr:row>
      <xdr:rowOff>44406</xdr:rowOff>
    </xdr:to>
    <xdr:grpSp>
      <xdr:nvGrpSpPr>
        <xdr:cNvPr id="9" name="Группа 8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GrpSpPr/>
      </xdr:nvGrpSpPr>
      <xdr:grpSpPr>
        <a:xfrm>
          <a:off x="7170420" y="1088346"/>
          <a:ext cx="1394460" cy="1066800"/>
          <a:chOff x="6599183" y="1057603"/>
          <a:chExt cx="1274116" cy="1073107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1900-00000A000000}"/>
              </a:ext>
            </a:extLst>
          </xdr:cNvPr>
          <xdr:cNvSpPr txBox="1"/>
        </xdr:nvSpPr>
        <xdr:spPr>
          <a:xfrm>
            <a:off x="6599183" y="1433086"/>
            <a:ext cx="1274116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Результат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11" name="Прямая со стрелкой 10">
            <a:extLst>
              <a:ext uri="{FF2B5EF4-FFF2-40B4-BE49-F238E27FC236}">
                <a16:creationId xmlns:a16="http://schemas.microsoft.com/office/drawing/2014/main" id="{00000000-0008-0000-1900-00000B000000}"/>
              </a:ext>
            </a:extLst>
          </xdr:cNvPr>
          <xdr:cNvCxnSpPr/>
        </xdr:nvCxnSpPr>
        <xdr:spPr>
          <a:xfrm flipV="1">
            <a:off x="7048763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36194</xdr:colOff>
      <xdr:row>10</xdr:row>
      <xdr:rowOff>23814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6812280" y="632460"/>
          <a:ext cx="3190874" cy="1319214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 сумме продаж и количеству найдите среднюю цену продажи. Замените ошибки  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ЕСЛИОШИБКА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430662</xdr:colOff>
      <xdr:row>12</xdr:row>
      <xdr:rowOff>11299</xdr:rowOff>
    </xdr:from>
    <xdr:to>
      <xdr:col>4</xdr:col>
      <xdr:colOff>731075</xdr:colOff>
      <xdr:row>14</xdr:row>
      <xdr:rowOff>178676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>
        <a:xfrm>
          <a:off x="2442342" y="2381119"/>
          <a:ext cx="2068253" cy="517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Поиск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искомого значения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309563</xdr:colOff>
      <xdr:row>8</xdr:row>
      <xdr:rowOff>100012</xdr:rowOff>
    </xdr:from>
    <xdr:to>
      <xdr:col>3</xdr:col>
      <xdr:colOff>12383</xdr:colOff>
      <xdr:row>8</xdr:row>
      <xdr:rowOff>100012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CxnSpPr/>
      </xdr:nvCxnSpPr>
      <xdr:spPr>
        <a:xfrm flipH="1">
          <a:off x="2321243" y="1768792"/>
          <a:ext cx="586740" cy="0"/>
        </a:xfrm>
        <a:prstGeom prst="straightConnector1">
          <a:avLst/>
        </a:prstGeom>
        <a:ln w="38100">
          <a:solidFill>
            <a:srgbClr val="FF6E4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2</xdr:row>
      <xdr:rowOff>4762</xdr:rowOff>
    </xdr:from>
    <xdr:to>
      <xdr:col>8</xdr:col>
      <xdr:colOff>413385</xdr:colOff>
      <xdr:row>4</xdr:row>
      <xdr:rowOff>195263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 txBox="1"/>
      </xdr:nvSpPr>
      <xdr:spPr>
        <a:xfrm>
          <a:off x="6235065" y="446722"/>
          <a:ext cx="2926080" cy="5638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Высота Шанхайской башни =</a:t>
          </a: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4 ряд, 2 столбец</a:t>
          </a:r>
        </a:p>
        <a:p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9</xdr:col>
      <xdr:colOff>160413</xdr:colOff>
      <xdr:row>9</xdr:row>
      <xdr:rowOff>161860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6278880" y="632460"/>
          <a:ext cx="3116973" cy="135058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РАНГ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присвойте данным башням места по убыванию их высоты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"/>
  <sheetViews>
    <sheetView zoomScale="150" zoomScaleNormal="150" workbookViewId="0">
      <selection activeCell="I5" sqref="I5:I15"/>
    </sheetView>
  </sheetViews>
  <sheetFormatPr defaultRowHeight="14.4" x14ac:dyDescent="0.3"/>
  <cols>
    <col min="1" max="1" width="8" customWidth="1"/>
    <col min="2" max="2" width="10.33203125" customWidth="1"/>
    <col min="9" max="9" width="14" customWidth="1"/>
    <col min="15" max="15" width="9.109375" customWidth="1"/>
  </cols>
  <sheetData>
    <row r="1" spans="2:9" x14ac:dyDescent="0.3">
      <c r="B1" s="95" t="s">
        <v>0</v>
      </c>
    </row>
    <row r="2" spans="2:9" ht="22.2" x14ac:dyDescent="0.5">
      <c r="B2" s="94"/>
      <c r="F2" s="1" t="s">
        <v>1</v>
      </c>
    </row>
    <row r="3" spans="2:9" x14ac:dyDescent="0.3">
      <c r="I3" s="2"/>
    </row>
    <row r="4" spans="2:9" ht="15.6" x14ac:dyDescent="0.3">
      <c r="F4" s="85" t="s">
        <v>2</v>
      </c>
      <c r="G4" s="85" t="s">
        <v>3</v>
      </c>
      <c r="H4" s="85" t="s">
        <v>4</v>
      </c>
      <c r="I4" s="85" t="s">
        <v>5</v>
      </c>
    </row>
    <row r="5" spans="2:9" x14ac:dyDescent="0.3">
      <c r="F5" s="3">
        <v>1999</v>
      </c>
      <c r="G5" s="3">
        <v>1</v>
      </c>
      <c r="H5" s="3">
        <v>1</v>
      </c>
      <c r="I5" s="4">
        <f>DATE(F5,G5,H5)</f>
        <v>36161</v>
      </c>
    </row>
    <row r="6" spans="2:9" x14ac:dyDescent="0.3">
      <c r="F6" s="3">
        <v>2000</v>
      </c>
      <c r="G6" s="3">
        <v>1</v>
      </c>
      <c r="H6" s="3">
        <v>1</v>
      </c>
      <c r="I6" s="4">
        <f t="shared" ref="I6:I15" si="0">DATE(F6,G6,H6)</f>
        <v>36526</v>
      </c>
    </row>
    <row r="7" spans="2:9" x14ac:dyDescent="0.3">
      <c r="F7" s="3">
        <v>2005</v>
      </c>
      <c r="G7" s="3">
        <v>2</v>
      </c>
      <c r="H7" s="3">
        <v>12</v>
      </c>
      <c r="I7" s="4">
        <f t="shared" si="0"/>
        <v>38395</v>
      </c>
    </row>
    <row r="8" spans="2:9" x14ac:dyDescent="0.3">
      <c r="F8" s="3">
        <v>2010</v>
      </c>
      <c r="G8" s="3">
        <v>10</v>
      </c>
      <c r="H8" s="3">
        <v>22</v>
      </c>
      <c r="I8" s="4">
        <f t="shared" si="0"/>
        <v>40473</v>
      </c>
    </row>
    <row r="9" spans="2:9" x14ac:dyDescent="0.3">
      <c r="F9" s="3">
        <v>2018</v>
      </c>
      <c r="G9" s="3">
        <v>6</v>
      </c>
      <c r="H9" s="3">
        <v>18</v>
      </c>
      <c r="I9" s="4">
        <f t="shared" si="0"/>
        <v>43269</v>
      </c>
    </row>
    <row r="10" spans="2:9" x14ac:dyDescent="0.3">
      <c r="F10" s="3">
        <v>2022</v>
      </c>
      <c r="G10" s="3">
        <v>8</v>
      </c>
      <c r="H10" s="3">
        <v>15</v>
      </c>
      <c r="I10" s="4">
        <f t="shared" si="0"/>
        <v>44788</v>
      </c>
    </row>
    <row r="11" spans="2:9" x14ac:dyDescent="0.3">
      <c r="F11" s="3">
        <v>2026</v>
      </c>
      <c r="G11" s="3">
        <v>9</v>
      </c>
      <c r="H11" s="3">
        <v>4</v>
      </c>
      <c r="I11" s="4">
        <f t="shared" si="0"/>
        <v>46269</v>
      </c>
    </row>
    <row r="12" spans="2:9" x14ac:dyDescent="0.3">
      <c r="F12" s="3">
        <v>2030</v>
      </c>
      <c r="G12" s="3">
        <v>12</v>
      </c>
      <c r="H12" s="3">
        <v>30</v>
      </c>
      <c r="I12" s="4">
        <f t="shared" si="0"/>
        <v>47847</v>
      </c>
    </row>
    <row r="13" spans="2:9" x14ac:dyDescent="0.3">
      <c r="F13" s="3">
        <v>2045</v>
      </c>
      <c r="G13" s="3">
        <v>3</v>
      </c>
      <c r="H13" s="3">
        <v>28</v>
      </c>
      <c r="I13" s="4">
        <f t="shared" si="0"/>
        <v>53049</v>
      </c>
    </row>
    <row r="14" spans="2:9" x14ac:dyDescent="0.3">
      <c r="F14" s="3">
        <v>2050</v>
      </c>
      <c r="G14" s="3">
        <v>7</v>
      </c>
      <c r="H14" s="3">
        <v>3</v>
      </c>
      <c r="I14" s="4">
        <f t="shared" si="0"/>
        <v>54972</v>
      </c>
    </row>
    <row r="15" spans="2:9" x14ac:dyDescent="0.3">
      <c r="F15" s="3">
        <v>2099</v>
      </c>
      <c r="G15" s="3">
        <v>11</v>
      </c>
      <c r="H15" s="3">
        <v>10</v>
      </c>
      <c r="I15" s="4">
        <f t="shared" si="0"/>
        <v>72999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4"/>
  <sheetViews>
    <sheetView zoomScale="115" zoomScaleNormal="115" workbookViewId="0">
      <selection activeCell="E5" sqref="E5:E14"/>
    </sheetView>
  </sheetViews>
  <sheetFormatPr defaultRowHeight="14.4" x14ac:dyDescent="0.3"/>
  <cols>
    <col min="2" max="2" width="14" customWidth="1"/>
    <col min="3" max="5" width="13.77734375" customWidth="1"/>
    <col min="6" max="6" width="11.21875" bestFit="1" customWidth="1"/>
    <col min="8" max="8" width="11.21875" bestFit="1" customWidth="1"/>
  </cols>
  <sheetData>
    <row r="2" spans="2:8" ht="21" x14ac:dyDescent="0.4">
      <c r="B2" s="1" t="s">
        <v>126</v>
      </c>
      <c r="C2" s="8" t="s">
        <v>127</v>
      </c>
      <c r="D2" s="43" t="s">
        <v>128</v>
      </c>
    </row>
    <row r="3" spans="2:8" x14ac:dyDescent="0.3">
      <c r="C3" s="2"/>
      <c r="D3" s="2"/>
      <c r="E3" s="2"/>
    </row>
    <row r="4" spans="2:8" ht="15.6" x14ac:dyDescent="0.3">
      <c r="B4" s="86" t="s">
        <v>129</v>
      </c>
      <c r="C4" s="86" t="s">
        <v>4</v>
      </c>
      <c r="D4" s="86" t="s">
        <v>3</v>
      </c>
      <c r="E4" s="86" t="s">
        <v>2</v>
      </c>
    </row>
    <row r="5" spans="2:8" x14ac:dyDescent="0.3">
      <c r="B5" s="39">
        <v>27670</v>
      </c>
      <c r="C5" s="26">
        <f>DAY(B5)</f>
        <v>3</v>
      </c>
      <c r="D5" s="26">
        <f>MONTH(B5)</f>
        <v>10</v>
      </c>
      <c r="E5" s="26">
        <f>YEAR(B5)</f>
        <v>1975</v>
      </c>
      <c r="H5" s="10"/>
    </row>
    <row r="6" spans="2:8" x14ac:dyDescent="0.3">
      <c r="B6" s="39">
        <v>33108</v>
      </c>
      <c r="C6" s="26">
        <f t="shared" ref="C6:C14" si="0">DAY(B6)</f>
        <v>23</v>
      </c>
      <c r="D6" s="26">
        <f t="shared" ref="D6:D14" si="1">MONTH(B6)</f>
        <v>8</v>
      </c>
      <c r="E6" s="26">
        <f t="shared" ref="E6:E14" si="2">YEAR(B6)</f>
        <v>1990</v>
      </c>
      <c r="H6" s="10"/>
    </row>
    <row r="7" spans="2:8" x14ac:dyDescent="0.3">
      <c r="B7" s="39">
        <v>36526</v>
      </c>
      <c r="C7" s="26">
        <f t="shared" si="0"/>
        <v>1</v>
      </c>
      <c r="D7" s="26">
        <f t="shared" si="1"/>
        <v>1</v>
      </c>
      <c r="E7" s="26">
        <f t="shared" si="2"/>
        <v>2000</v>
      </c>
      <c r="H7" s="10"/>
    </row>
    <row r="8" spans="2:8" x14ac:dyDescent="0.3">
      <c r="B8" s="39">
        <v>45285</v>
      </c>
      <c r="C8" s="26">
        <f t="shared" si="0"/>
        <v>25</v>
      </c>
      <c r="D8" s="26">
        <f t="shared" si="1"/>
        <v>12</v>
      </c>
      <c r="E8" s="26">
        <f t="shared" si="2"/>
        <v>2023</v>
      </c>
      <c r="H8" s="10"/>
    </row>
    <row r="9" spans="2:8" x14ac:dyDescent="0.3">
      <c r="B9" s="39">
        <v>45823</v>
      </c>
      <c r="C9" s="26">
        <f t="shared" si="0"/>
        <v>15</v>
      </c>
      <c r="D9" s="26">
        <f t="shared" si="1"/>
        <v>6</v>
      </c>
      <c r="E9" s="26">
        <f t="shared" si="2"/>
        <v>2025</v>
      </c>
      <c r="H9" s="10"/>
    </row>
    <row r="10" spans="2:8" x14ac:dyDescent="0.3">
      <c r="B10" s="39">
        <v>46143</v>
      </c>
      <c r="C10" s="26">
        <f t="shared" si="0"/>
        <v>1</v>
      </c>
      <c r="D10" s="26">
        <f t="shared" si="1"/>
        <v>5</v>
      </c>
      <c r="E10" s="26">
        <f t="shared" si="2"/>
        <v>2026</v>
      </c>
      <c r="H10" s="10"/>
    </row>
    <row r="11" spans="2:8" x14ac:dyDescent="0.3">
      <c r="B11" s="39">
        <v>47027</v>
      </c>
      <c r="C11" s="26">
        <f t="shared" si="0"/>
        <v>1</v>
      </c>
      <c r="D11" s="26">
        <f t="shared" si="1"/>
        <v>10</v>
      </c>
      <c r="E11" s="26">
        <f t="shared" si="2"/>
        <v>2028</v>
      </c>
      <c r="H11" s="10"/>
    </row>
    <row r="12" spans="2:8" x14ac:dyDescent="0.3">
      <c r="B12" s="39">
        <v>45657</v>
      </c>
      <c r="C12" s="26">
        <f t="shared" si="0"/>
        <v>31</v>
      </c>
      <c r="D12" s="26">
        <f t="shared" si="1"/>
        <v>12</v>
      </c>
      <c r="E12" s="26">
        <f t="shared" si="2"/>
        <v>2024</v>
      </c>
      <c r="H12" s="10"/>
    </row>
    <row r="13" spans="2:8" x14ac:dyDescent="0.3">
      <c r="B13" s="39">
        <v>45350</v>
      </c>
      <c r="C13" s="26">
        <f t="shared" si="0"/>
        <v>28</v>
      </c>
      <c r="D13" s="26">
        <f t="shared" si="1"/>
        <v>2</v>
      </c>
      <c r="E13" s="26">
        <f t="shared" si="2"/>
        <v>2024</v>
      </c>
      <c r="H13" s="10"/>
    </row>
    <row r="14" spans="2:8" x14ac:dyDescent="0.3">
      <c r="B14" s="39">
        <v>47738</v>
      </c>
      <c r="C14" s="26">
        <f t="shared" si="0"/>
        <v>12</v>
      </c>
      <c r="D14" s="26">
        <f t="shared" si="1"/>
        <v>9</v>
      </c>
      <c r="E14" s="26">
        <f t="shared" si="2"/>
        <v>2030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2"/>
  <sheetViews>
    <sheetView workbookViewId="0">
      <selection activeCell="B21" sqref="B21"/>
    </sheetView>
  </sheetViews>
  <sheetFormatPr defaultRowHeight="14.4" x14ac:dyDescent="0.3"/>
  <cols>
    <col min="2" max="2" width="23.21875" customWidth="1"/>
    <col min="3" max="3" width="34.109375" bestFit="1" customWidth="1"/>
    <col min="6" max="6" width="11.21875" bestFit="1" customWidth="1"/>
    <col min="8" max="8" width="11.21875" bestFit="1" customWidth="1"/>
  </cols>
  <sheetData>
    <row r="2" spans="2:8" ht="21" x14ac:dyDescent="0.4">
      <c r="B2" s="1" t="s">
        <v>339</v>
      </c>
    </row>
    <row r="4" spans="2:8" ht="15.6" x14ac:dyDescent="0.3">
      <c r="B4" s="86" t="s">
        <v>129</v>
      </c>
      <c r="C4" s="86" t="s">
        <v>165</v>
      </c>
    </row>
    <row r="5" spans="2:8" x14ac:dyDescent="0.3">
      <c r="B5" s="4">
        <f ca="1">TODAY()</f>
        <v>46285</v>
      </c>
      <c r="C5" s="78" t="s">
        <v>340</v>
      </c>
      <c r="D5" s="2" t="s">
        <v>341</v>
      </c>
      <c r="H5" s="10"/>
    </row>
    <row r="6" spans="2:8" x14ac:dyDescent="0.3">
      <c r="B6" s="4">
        <f ca="1">TODAY()-7</f>
        <v>46278</v>
      </c>
      <c r="C6" s="78" t="s">
        <v>342</v>
      </c>
      <c r="D6" s="2" t="s">
        <v>343</v>
      </c>
      <c r="H6" s="10"/>
    </row>
    <row r="7" spans="2:8" x14ac:dyDescent="0.3">
      <c r="B7" s="4">
        <f ca="1">TODAY()+7</f>
        <v>46292</v>
      </c>
      <c r="C7" s="78" t="s">
        <v>344</v>
      </c>
      <c r="D7" s="2" t="s">
        <v>345</v>
      </c>
      <c r="H7" s="10"/>
    </row>
    <row r="8" spans="2:8" x14ac:dyDescent="0.3">
      <c r="B8" s="4">
        <f ca="1">TODAY()+90</f>
        <v>46375</v>
      </c>
      <c r="C8" s="78" t="s">
        <v>346</v>
      </c>
      <c r="D8" s="2" t="s">
        <v>347</v>
      </c>
      <c r="H8" s="10"/>
    </row>
    <row r="9" spans="2:8" x14ac:dyDescent="0.3">
      <c r="B9" s="4">
        <f ca="1">EDATE(TODAY(),12)</f>
        <v>46650</v>
      </c>
      <c r="C9" s="78" t="s">
        <v>348</v>
      </c>
      <c r="D9" s="2" t="s">
        <v>349</v>
      </c>
      <c r="H9" s="10"/>
    </row>
    <row r="10" spans="2:8" x14ac:dyDescent="0.3">
      <c r="B10" s="4">
        <f ca="1">EDATE(TODAY(),12)</f>
        <v>46650</v>
      </c>
      <c r="C10" s="78" t="s">
        <v>350</v>
      </c>
      <c r="D10" s="2" t="s">
        <v>351</v>
      </c>
      <c r="H10" s="10"/>
    </row>
    <row r="11" spans="2:8" x14ac:dyDescent="0.3">
      <c r="B11" s="4">
        <f ca="1">EDATE(TODAY(),-12)</f>
        <v>45920</v>
      </c>
      <c r="C11" s="78" t="s">
        <v>352</v>
      </c>
      <c r="D11" s="2" t="s">
        <v>353</v>
      </c>
      <c r="H11" s="10"/>
    </row>
    <row r="12" spans="2:8" x14ac:dyDescent="0.3">
      <c r="B12" s="4">
        <f ca="1">EOMONTH(TODAY(),0)</f>
        <v>46295</v>
      </c>
      <c r="C12" s="78" t="s">
        <v>354</v>
      </c>
      <c r="D12" s="2" t="s">
        <v>355</v>
      </c>
      <c r="H12" s="10"/>
    </row>
    <row r="13" spans="2:8" x14ac:dyDescent="0.3">
      <c r="B13" s="4">
        <f ca="1">EOMONTH(TODAY(),-1)+1</f>
        <v>46266</v>
      </c>
      <c r="C13" s="78" t="s">
        <v>356</v>
      </c>
      <c r="D13" s="2" t="s">
        <v>357</v>
      </c>
      <c r="H13" s="10"/>
    </row>
    <row r="14" spans="2:8" x14ac:dyDescent="0.3">
      <c r="B14" s="79">
        <f ca="1">TODAY()+TIME(18,0,0)</f>
        <v>46285.75</v>
      </c>
      <c r="C14" s="80" t="s">
        <v>358</v>
      </c>
      <c r="D14" s="2" t="s">
        <v>359</v>
      </c>
    </row>
    <row r="15" spans="2:8" x14ac:dyDescent="0.3">
      <c r="B15" s="79">
        <f ca="1">TODAY()+1+TIME(12,0,0)</f>
        <v>46286.5</v>
      </c>
      <c r="C15" s="80" t="s">
        <v>360</v>
      </c>
      <c r="D15" s="2" t="s">
        <v>361</v>
      </c>
    </row>
    <row r="19" spans="2:4" ht="21" x14ac:dyDescent="0.4">
      <c r="B19" s="1" t="s">
        <v>376</v>
      </c>
    </row>
    <row r="20" spans="2:4" ht="15.6" x14ac:dyDescent="0.3">
      <c r="B20" s="86" t="s">
        <v>377</v>
      </c>
      <c r="C20" s="86" t="s">
        <v>165</v>
      </c>
    </row>
    <row r="21" spans="2:4" x14ac:dyDescent="0.3">
      <c r="B21" s="4">
        <f ca="1">NOW()</f>
        <v>46285.876717708335</v>
      </c>
      <c r="C21" s="83" t="s">
        <v>378</v>
      </c>
      <c r="D21" t="s">
        <v>379</v>
      </c>
    </row>
    <row r="22" spans="2:4" x14ac:dyDescent="0.3">
      <c r="C22" s="8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6"/>
  <sheetViews>
    <sheetView zoomScale="145" zoomScaleNormal="145" workbookViewId="0">
      <selection activeCell="E5" sqref="E5:E16"/>
    </sheetView>
  </sheetViews>
  <sheetFormatPr defaultRowHeight="14.4" x14ac:dyDescent="0.3"/>
  <cols>
    <col min="2" max="2" width="13.109375" customWidth="1"/>
    <col min="3" max="3" width="12.44140625" customWidth="1"/>
    <col min="4" max="4" width="8" customWidth="1"/>
    <col min="5" max="5" width="14.5546875" customWidth="1"/>
    <col min="8" max="8" width="11.21875" bestFit="1" customWidth="1"/>
    <col min="10" max="10" width="15.21875" bestFit="1" customWidth="1"/>
  </cols>
  <sheetData>
    <row r="2" spans="2:10" ht="21" x14ac:dyDescent="0.4">
      <c r="B2" s="1" t="s">
        <v>362</v>
      </c>
    </row>
    <row r="4" spans="2:10" ht="15.6" x14ac:dyDescent="0.3">
      <c r="B4" s="86" t="s">
        <v>129</v>
      </c>
      <c r="C4" s="86" t="s">
        <v>363</v>
      </c>
      <c r="E4" s="86" t="s">
        <v>5</v>
      </c>
      <c r="J4" s="82"/>
    </row>
    <row r="5" spans="2:10" x14ac:dyDescent="0.3">
      <c r="B5" s="39">
        <v>46784</v>
      </c>
      <c r="C5" s="66">
        <v>1</v>
      </c>
      <c r="E5" s="41">
        <f>EDATE(B5,C5)</f>
        <v>46813</v>
      </c>
      <c r="F5" s="2" t="s">
        <v>364</v>
      </c>
      <c r="J5" s="10"/>
    </row>
    <row r="6" spans="2:10" x14ac:dyDescent="0.3">
      <c r="B6" s="39">
        <v>46784</v>
      </c>
      <c r="C6" s="66">
        <v>2</v>
      </c>
      <c r="E6" s="41">
        <f t="shared" ref="E6:E16" si="0">EDATE(B6,C6)</f>
        <v>46844</v>
      </c>
      <c r="F6" s="2" t="s">
        <v>365</v>
      </c>
      <c r="J6" s="10"/>
    </row>
    <row r="7" spans="2:10" x14ac:dyDescent="0.3">
      <c r="B7" s="39">
        <v>46784</v>
      </c>
      <c r="C7" s="66">
        <v>3</v>
      </c>
      <c r="E7" s="41">
        <f t="shared" si="0"/>
        <v>46874</v>
      </c>
      <c r="F7" s="2" t="s">
        <v>366</v>
      </c>
      <c r="J7" s="10"/>
    </row>
    <row r="8" spans="2:10" x14ac:dyDescent="0.3">
      <c r="B8" s="39">
        <v>46784</v>
      </c>
      <c r="C8" s="66">
        <v>-1</v>
      </c>
      <c r="E8" s="41">
        <f t="shared" si="0"/>
        <v>46753</v>
      </c>
      <c r="F8" s="2" t="s">
        <v>367</v>
      </c>
      <c r="J8" s="10"/>
    </row>
    <row r="9" spans="2:10" x14ac:dyDescent="0.3">
      <c r="B9" s="39">
        <v>46784</v>
      </c>
      <c r="C9" s="66">
        <v>-2</v>
      </c>
      <c r="E9" s="41">
        <f t="shared" si="0"/>
        <v>46722</v>
      </c>
      <c r="F9" s="2" t="s">
        <v>368</v>
      </c>
      <c r="J9" s="10"/>
    </row>
    <row r="10" spans="2:10" x14ac:dyDescent="0.3">
      <c r="B10" s="39">
        <v>46784</v>
      </c>
      <c r="C10" s="66">
        <v>-3</v>
      </c>
      <c r="E10" s="41">
        <f t="shared" si="0"/>
        <v>46692</v>
      </c>
      <c r="F10" s="2" t="s">
        <v>369</v>
      </c>
      <c r="J10" s="10"/>
    </row>
    <row r="11" spans="2:10" x14ac:dyDescent="0.3">
      <c r="B11" s="39">
        <v>46783</v>
      </c>
      <c r="C11" s="66">
        <v>1</v>
      </c>
      <c r="E11" s="41">
        <f t="shared" si="0"/>
        <v>46812</v>
      </c>
      <c r="F11" s="2" t="s">
        <v>370</v>
      </c>
      <c r="J11" s="10"/>
    </row>
    <row r="12" spans="2:10" x14ac:dyDescent="0.3">
      <c r="B12" s="39">
        <v>46827</v>
      </c>
      <c r="C12" s="66">
        <v>1.5</v>
      </c>
      <c r="E12" s="41">
        <f t="shared" si="0"/>
        <v>46858</v>
      </c>
      <c r="F12" s="2" t="s">
        <v>371</v>
      </c>
      <c r="J12" s="10"/>
    </row>
    <row r="13" spans="2:10" x14ac:dyDescent="0.3">
      <c r="B13" s="39">
        <v>46827</v>
      </c>
      <c r="C13" s="66">
        <v>12</v>
      </c>
      <c r="E13" s="41">
        <f t="shared" si="0"/>
        <v>47192</v>
      </c>
      <c r="F13" s="2" t="s">
        <v>372</v>
      </c>
      <c r="J13" s="10"/>
    </row>
    <row r="14" spans="2:10" x14ac:dyDescent="0.3">
      <c r="B14" s="39">
        <v>46827</v>
      </c>
      <c r="C14" s="66">
        <v>24</v>
      </c>
      <c r="E14" s="41">
        <f t="shared" si="0"/>
        <v>47557</v>
      </c>
      <c r="F14" s="2" t="s">
        <v>373</v>
      </c>
    </row>
    <row r="15" spans="2:10" x14ac:dyDescent="0.3">
      <c r="B15" s="39">
        <v>46905</v>
      </c>
      <c r="C15" s="66">
        <v>120</v>
      </c>
      <c r="E15" s="41">
        <f t="shared" si="0"/>
        <v>50557</v>
      </c>
      <c r="F15" s="2" t="s">
        <v>374</v>
      </c>
    </row>
    <row r="16" spans="2:10" x14ac:dyDescent="0.3">
      <c r="B16" s="39">
        <v>47011</v>
      </c>
      <c r="C16" s="66">
        <v>-60</v>
      </c>
      <c r="E16" s="41">
        <f t="shared" si="0"/>
        <v>45184</v>
      </c>
      <c r="F16" s="2" t="s">
        <v>375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4"/>
  <sheetViews>
    <sheetView workbookViewId="0">
      <selection activeCell="H17" sqref="H17"/>
    </sheetView>
  </sheetViews>
  <sheetFormatPr defaultRowHeight="14.4" x14ac:dyDescent="0.3"/>
  <cols>
    <col min="1" max="1" width="9.109375" customWidth="1"/>
    <col min="2" max="2" width="14" customWidth="1"/>
    <col min="3" max="3" width="11.5546875" customWidth="1"/>
    <col min="4" max="4" width="14.21875" customWidth="1"/>
    <col min="5" max="5" width="15.88671875" customWidth="1"/>
    <col min="6" max="6" width="16.6640625" customWidth="1"/>
    <col min="7" max="7" width="13.33203125" customWidth="1"/>
    <col min="9" max="9" width="11.21875" bestFit="1" customWidth="1"/>
  </cols>
  <sheetData>
    <row r="1" spans="2:10" x14ac:dyDescent="0.3">
      <c r="J1" s="5"/>
    </row>
    <row r="2" spans="2:10" ht="21" x14ac:dyDescent="0.4">
      <c r="B2" s="1" t="s">
        <v>6</v>
      </c>
      <c r="C2" s="6" t="s">
        <v>7</v>
      </c>
      <c r="E2" s="7" t="s">
        <v>8</v>
      </c>
      <c r="F2" s="8" t="s">
        <v>9</v>
      </c>
    </row>
    <row r="3" spans="2:10" x14ac:dyDescent="0.3">
      <c r="D3" s="2"/>
      <c r="E3" s="2"/>
      <c r="F3" s="2"/>
    </row>
    <row r="4" spans="2:10" ht="15.6" x14ac:dyDescent="0.3">
      <c r="B4" s="86" t="s">
        <v>10</v>
      </c>
      <c r="C4" s="86" t="s">
        <v>11</v>
      </c>
      <c r="D4" s="86" t="s">
        <v>6</v>
      </c>
      <c r="E4" s="86" t="s">
        <v>7</v>
      </c>
      <c r="F4" s="86" t="s">
        <v>8</v>
      </c>
      <c r="G4" s="86" t="s">
        <v>9</v>
      </c>
    </row>
    <row r="5" spans="2:10" x14ac:dyDescent="0.3">
      <c r="B5" s="3">
        <v>6.6444999999999999</v>
      </c>
      <c r="C5" s="3">
        <v>0</v>
      </c>
      <c r="D5" s="98">
        <f>ROUND(B5,C5)</f>
        <v>7</v>
      </c>
      <c r="E5" s="98">
        <f>ROUNDUP(B5,C5)</f>
        <v>7</v>
      </c>
      <c r="F5" s="98">
        <f>ROUNDDOWN(B5,C5)</f>
        <v>6</v>
      </c>
      <c r="G5" s="98">
        <f>INT(B5)</f>
        <v>6</v>
      </c>
      <c r="H5" s="2" t="s">
        <v>12</v>
      </c>
      <c r="I5" s="10"/>
    </row>
    <row r="6" spans="2:10" x14ac:dyDescent="0.3">
      <c r="B6" s="3">
        <v>3.1926000000000001</v>
      </c>
      <c r="C6" s="3">
        <v>1</v>
      </c>
      <c r="D6" s="97">
        <f t="shared" ref="D6:D14" si="0">ROUND(B6,C6)</f>
        <v>3.2</v>
      </c>
      <c r="E6" s="97">
        <f t="shared" ref="E6:E14" si="1">ROUNDUP(B6,C6)</f>
        <v>3.2</v>
      </c>
      <c r="F6" s="97">
        <f t="shared" ref="F6:F14" si="2">ROUNDDOWN(B6,C6)</f>
        <v>3.1</v>
      </c>
      <c r="G6" s="97">
        <f t="shared" ref="G6:G14" si="3">INT(B6)</f>
        <v>3</v>
      </c>
      <c r="H6" s="2" t="s">
        <v>13</v>
      </c>
    </row>
    <row r="7" spans="2:10" x14ac:dyDescent="0.3">
      <c r="B7" s="3">
        <v>3.7498</v>
      </c>
      <c r="C7" s="3">
        <v>2</v>
      </c>
      <c r="D7" s="9">
        <f t="shared" si="0"/>
        <v>3.75</v>
      </c>
      <c r="E7" s="9">
        <f t="shared" si="1"/>
        <v>3.75</v>
      </c>
      <c r="F7" s="9">
        <f t="shared" si="2"/>
        <v>3.74</v>
      </c>
      <c r="G7" s="9">
        <f t="shared" si="3"/>
        <v>3</v>
      </c>
      <c r="H7" s="2" t="s">
        <v>14</v>
      </c>
    </row>
    <row r="8" spans="2:10" x14ac:dyDescent="0.3">
      <c r="B8" s="3">
        <v>0</v>
      </c>
      <c r="C8" s="3">
        <v>3</v>
      </c>
      <c r="D8" s="9">
        <f t="shared" si="0"/>
        <v>0</v>
      </c>
      <c r="E8" s="9">
        <f t="shared" si="1"/>
        <v>0</v>
      </c>
      <c r="F8" s="9">
        <f t="shared" si="2"/>
        <v>0</v>
      </c>
      <c r="G8" s="9">
        <f t="shared" si="3"/>
        <v>0</v>
      </c>
      <c r="H8" s="2" t="s">
        <v>15</v>
      </c>
    </row>
    <row r="9" spans="2:10" x14ac:dyDescent="0.3">
      <c r="B9" s="3">
        <v>-7.4450000000000003</v>
      </c>
      <c r="C9" s="3">
        <v>1</v>
      </c>
      <c r="D9" s="97">
        <f t="shared" si="0"/>
        <v>-7.4</v>
      </c>
      <c r="E9" s="97">
        <f t="shared" si="1"/>
        <v>-7.5</v>
      </c>
      <c r="F9" s="97">
        <f t="shared" si="2"/>
        <v>-7.4</v>
      </c>
      <c r="G9" s="97">
        <f t="shared" si="3"/>
        <v>-8</v>
      </c>
      <c r="H9" s="2" t="s">
        <v>16</v>
      </c>
    </row>
    <row r="10" spans="2:10" x14ac:dyDescent="0.3">
      <c r="B10" s="11">
        <v>-5.3129999999999997</v>
      </c>
      <c r="C10" s="12">
        <v>2</v>
      </c>
      <c r="D10" s="9">
        <f t="shared" si="0"/>
        <v>-5.31</v>
      </c>
      <c r="E10" s="9">
        <f t="shared" si="1"/>
        <v>-5.3199999999999994</v>
      </c>
      <c r="F10" s="9">
        <f t="shared" si="2"/>
        <v>-5.31</v>
      </c>
      <c r="G10" s="9">
        <f t="shared" si="3"/>
        <v>-6</v>
      </c>
      <c r="H10" s="2" t="s">
        <v>17</v>
      </c>
      <c r="I10" s="10"/>
    </row>
    <row r="11" spans="2:10" x14ac:dyDescent="0.3">
      <c r="B11" s="3">
        <v>72325.3</v>
      </c>
      <c r="C11" s="3">
        <v>-1</v>
      </c>
      <c r="D11" s="97">
        <f t="shared" si="0"/>
        <v>72330</v>
      </c>
      <c r="E11" s="97">
        <f t="shared" si="1"/>
        <v>72330</v>
      </c>
      <c r="F11" s="97">
        <f t="shared" si="2"/>
        <v>72320</v>
      </c>
      <c r="G11" s="9">
        <f t="shared" si="3"/>
        <v>72325</v>
      </c>
      <c r="H11" s="2" t="s">
        <v>18</v>
      </c>
      <c r="I11" s="10"/>
    </row>
    <row r="12" spans="2:10" x14ac:dyDescent="0.3">
      <c r="B12" s="3">
        <v>88275.5</v>
      </c>
      <c r="C12" s="3">
        <v>-2</v>
      </c>
      <c r="D12" s="9">
        <f t="shared" si="0"/>
        <v>88300</v>
      </c>
      <c r="E12" s="9">
        <f t="shared" si="1"/>
        <v>88300</v>
      </c>
      <c r="F12" s="9">
        <f t="shared" si="2"/>
        <v>88200</v>
      </c>
      <c r="G12" s="9">
        <f t="shared" si="3"/>
        <v>88275</v>
      </c>
      <c r="H12" s="2" t="s">
        <v>19</v>
      </c>
      <c r="I12" s="10"/>
    </row>
    <row r="13" spans="2:10" x14ac:dyDescent="0.3">
      <c r="B13" s="3">
        <v>81893.8</v>
      </c>
      <c r="C13" s="3">
        <v>-3</v>
      </c>
      <c r="D13" s="96">
        <f t="shared" si="0"/>
        <v>82000</v>
      </c>
      <c r="E13" s="96">
        <f t="shared" si="1"/>
        <v>82000</v>
      </c>
      <c r="F13" s="96">
        <f t="shared" si="2"/>
        <v>81000</v>
      </c>
      <c r="G13" s="96">
        <f t="shared" si="3"/>
        <v>81893</v>
      </c>
      <c r="H13" s="2" t="s">
        <v>20</v>
      </c>
      <c r="I13" s="10"/>
    </row>
    <row r="14" spans="2:10" x14ac:dyDescent="0.3">
      <c r="B14" s="3">
        <v>35901.4</v>
      </c>
      <c r="C14" s="3">
        <v>-4</v>
      </c>
      <c r="D14" s="97">
        <f t="shared" si="0"/>
        <v>40000</v>
      </c>
      <c r="E14" s="97">
        <f t="shared" si="1"/>
        <v>40000</v>
      </c>
      <c r="F14" s="97">
        <f t="shared" si="2"/>
        <v>30000</v>
      </c>
      <c r="G14" s="97">
        <f t="shared" si="3"/>
        <v>35901</v>
      </c>
      <c r="H14" s="2" t="s">
        <v>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13"/>
  <sheetViews>
    <sheetView workbookViewId="0">
      <selection activeCell="H5" sqref="H5:H13"/>
    </sheetView>
  </sheetViews>
  <sheetFormatPr defaultRowHeight="14.4" x14ac:dyDescent="0.3"/>
  <cols>
    <col min="1" max="1" width="8.88671875" style="13"/>
    <col min="2" max="2" width="9.21875" style="13" bestFit="1" customWidth="1"/>
    <col min="3" max="5" width="7.33203125" style="13" bestFit="1" customWidth="1"/>
    <col min="6" max="6" width="7.77734375" style="13" bestFit="1" customWidth="1"/>
    <col min="7" max="7" width="4.88671875" style="13" customWidth="1"/>
    <col min="8" max="8" width="10.109375" style="13" bestFit="1" customWidth="1"/>
    <col min="9" max="16384" width="8.88671875" style="13"/>
  </cols>
  <sheetData>
    <row r="1" spans="2:11" x14ac:dyDescent="0.3">
      <c r="J1" s="14"/>
    </row>
    <row r="2" spans="2:11" ht="21" x14ac:dyDescent="0.4">
      <c r="B2" s="15" t="s">
        <v>22</v>
      </c>
      <c r="C2" s="16"/>
      <c r="D2" s="17"/>
      <c r="E2" s="18"/>
    </row>
    <row r="3" spans="2:11" x14ac:dyDescent="0.3">
      <c r="D3" s="19"/>
      <c r="E3" s="19"/>
      <c r="F3" s="19"/>
    </row>
    <row r="4" spans="2:11" ht="15.6" x14ac:dyDescent="0.3">
      <c r="B4" s="87" t="s">
        <v>23</v>
      </c>
      <c r="C4" s="87" t="s">
        <v>24</v>
      </c>
      <c r="D4" s="87" t="s">
        <v>25</v>
      </c>
      <c r="E4" s="87" t="s">
        <v>26</v>
      </c>
      <c r="F4" s="87" t="s">
        <v>27</v>
      </c>
      <c r="H4" s="88" t="s">
        <v>5</v>
      </c>
    </row>
    <row r="5" spans="2:11" x14ac:dyDescent="0.3">
      <c r="B5" s="20">
        <v>1</v>
      </c>
      <c r="C5" s="20">
        <v>2</v>
      </c>
      <c r="D5" s="20">
        <v>3</v>
      </c>
      <c r="E5" s="21">
        <v>4</v>
      </c>
      <c r="F5" s="20">
        <v>5</v>
      </c>
      <c r="H5" s="99">
        <f>SUM(B5,C5,D5,E5,F5)</f>
        <v>15</v>
      </c>
      <c r="I5" s="19" t="s">
        <v>28</v>
      </c>
      <c r="K5" s="19"/>
    </row>
    <row r="6" spans="2:11" x14ac:dyDescent="0.3">
      <c r="B6" s="20">
        <v>3.1926000000000001</v>
      </c>
      <c r="C6" s="20">
        <v>1.2</v>
      </c>
      <c r="D6" s="20">
        <v>3.2</v>
      </c>
      <c r="E6" s="22">
        <v>3.5</v>
      </c>
      <c r="F6" s="20">
        <v>4.0999999999999996</v>
      </c>
      <c r="H6" s="99">
        <f t="shared" ref="H6:H13" si="0">SUM(B6,C6,D6,E6,F6)</f>
        <v>15.192600000000001</v>
      </c>
      <c r="I6" s="19" t="s">
        <v>29</v>
      </c>
      <c r="K6" s="19"/>
    </row>
    <row r="7" spans="2:11" x14ac:dyDescent="0.3">
      <c r="B7" s="21">
        <v>-1</v>
      </c>
      <c r="C7" s="21">
        <v>2</v>
      </c>
      <c r="D7" s="20">
        <v>-3</v>
      </c>
      <c r="E7" s="21">
        <v>4</v>
      </c>
      <c r="F7" s="20">
        <v>-6</v>
      </c>
      <c r="H7" s="99">
        <f t="shared" si="0"/>
        <v>-4</v>
      </c>
      <c r="I7" s="19" t="s">
        <v>30</v>
      </c>
      <c r="K7" s="19"/>
    </row>
    <row r="8" spans="2:11" x14ac:dyDescent="0.3">
      <c r="B8" s="23">
        <v>47119</v>
      </c>
      <c r="C8" s="21">
        <v>30</v>
      </c>
      <c r="D8" s="20">
        <v>55.2</v>
      </c>
      <c r="E8" s="21">
        <v>6</v>
      </c>
      <c r="F8" s="20">
        <v>1</v>
      </c>
      <c r="H8" s="99">
        <f t="shared" si="0"/>
        <v>47211.199999999997</v>
      </c>
      <c r="I8" s="19" t="s">
        <v>31</v>
      </c>
      <c r="K8" s="19"/>
    </row>
    <row r="9" spans="2:11" x14ac:dyDescent="0.3">
      <c r="B9" s="24">
        <v>0.78125</v>
      </c>
      <c r="C9" s="21">
        <v>10</v>
      </c>
      <c r="D9" s="20">
        <v>15</v>
      </c>
      <c r="E9" s="21">
        <v>30</v>
      </c>
      <c r="F9" s="20">
        <v>45</v>
      </c>
      <c r="H9" s="99">
        <f t="shared" si="0"/>
        <v>100.78125</v>
      </c>
      <c r="I9" s="19" t="s">
        <v>32</v>
      </c>
      <c r="K9" s="19"/>
    </row>
    <row r="10" spans="2:11" x14ac:dyDescent="0.3">
      <c r="B10" s="20">
        <v>5</v>
      </c>
      <c r="C10" s="20" t="s">
        <v>33</v>
      </c>
      <c r="D10" s="20">
        <v>0</v>
      </c>
      <c r="E10" s="21" t="s">
        <v>34</v>
      </c>
      <c r="F10" s="20">
        <v>15</v>
      </c>
      <c r="H10" s="99">
        <f t="shared" si="0"/>
        <v>20</v>
      </c>
      <c r="I10" s="19" t="s">
        <v>35</v>
      </c>
      <c r="K10" s="19"/>
    </row>
    <row r="11" spans="2:11" x14ac:dyDescent="0.3">
      <c r="B11" s="20" t="s">
        <v>36</v>
      </c>
      <c r="C11" s="20" t="s">
        <v>37</v>
      </c>
      <c r="D11" s="20" t="s">
        <v>38</v>
      </c>
      <c r="E11" s="21" t="s">
        <v>39</v>
      </c>
      <c r="F11" s="20" t="s">
        <v>40</v>
      </c>
      <c r="H11" s="99">
        <f t="shared" si="0"/>
        <v>0</v>
      </c>
      <c r="I11" s="19" t="s">
        <v>35</v>
      </c>
      <c r="K11" s="19"/>
    </row>
    <row r="12" spans="2:11" x14ac:dyDescent="0.3">
      <c r="B12" s="20">
        <v>1</v>
      </c>
      <c r="C12" s="20">
        <v>2</v>
      </c>
      <c r="D12" s="20">
        <v>3</v>
      </c>
      <c r="E12" s="21">
        <v>4</v>
      </c>
      <c r="F12" s="20" t="e">
        <f>E12/0</f>
        <v>#DIV/0!</v>
      </c>
      <c r="H12" s="99" t="e">
        <f t="shared" si="0"/>
        <v>#DIV/0!</v>
      </c>
      <c r="I12" s="19" t="s">
        <v>41</v>
      </c>
      <c r="K12" s="19"/>
    </row>
    <row r="13" spans="2:11" x14ac:dyDescent="0.3">
      <c r="B13" s="20">
        <v>5</v>
      </c>
      <c r="C13" s="20">
        <v>6</v>
      </c>
      <c r="D13" s="20">
        <v>7</v>
      </c>
      <c r="E13" s="20" t="e">
        <f>VLOOKUP(14,H5:H8,1,0)</f>
        <v>#N/A</v>
      </c>
      <c r="F13" s="21">
        <v>8</v>
      </c>
      <c r="H13" s="99" t="e">
        <f t="shared" si="0"/>
        <v>#N/A</v>
      </c>
      <c r="I13" s="19" t="s">
        <v>41</v>
      </c>
      <c r="K13" s="1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14"/>
  <sheetViews>
    <sheetView workbookViewId="0">
      <selection activeCell="G5" sqref="G5:G14"/>
    </sheetView>
  </sheetViews>
  <sheetFormatPr defaultRowHeight="14.4" x14ac:dyDescent="0.3"/>
  <cols>
    <col min="1" max="1" width="8.88671875" style="29"/>
    <col min="2" max="2" width="9.21875" style="29" bestFit="1" customWidth="1"/>
    <col min="3" max="3" width="7.33203125" style="29" bestFit="1" customWidth="1"/>
    <col min="4" max="4" width="9.88671875" style="29" bestFit="1" customWidth="1"/>
    <col min="5" max="5" width="9.88671875" style="29" customWidth="1"/>
    <col min="6" max="6" width="4.88671875" style="29" customWidth="1"/>
    <col min="7" max="7" width="10.109375" style="29" bestFit="1" customWidth="1"/>
    <col min="8" max="16384" width="8.88671875" style="29"/>
  </cols>
  <sheetData>
    <row r="1" spans="2:10" x14ac:dyDescent="0.3">
      <c r="J1" s="14"/>
    </row>
    <row r="2" spans="2:10" ht="21" x14ac:dyDescent="0.4">
      <c r="B2" s="30" t="s">
        <v>74</v>
      </c>
      <c r="C2" s="31"/>
      <c r="D2" s="32"/>
      <c r="E2" s="32"/>
    </row>
    <row r="3" spans="2:10" x14ac:dyDescent="0.3">
      <c r="D3" s="33"/>
      <c r="E3" s="33"/>
    </row>
    <row r="4" spans="2:10" ht="15.6" x14ac:dyDescent="0.3">
      <c r="B4" s="89" t="s">
        <v>23</v>
      </c>
      <c r="C4" s="89" t="s">
        <v>24</v>
      </c>
      <c r="D4" s="89" t="s">
        <v>25</v>
      </c>
      <c r="E4" s="89" t="s">
        <v>26</v>
      </c>
      <c r="G4" s="90" t="s">
        <v>5</v>
      </c>
    </row>
    <row r="5" spans="2:10" x14ac:dyDescent="0.3">
      <c r="B5" s="34">
        <v>1</v>
      </c>
      <c r="C5" s="34">
        <v>2</v>
      </c>
      <c r="D5" s="34">
        <v>3</v>
      </c>
      <c r="E5" s="34">
        <v>4</v>
      </c>
      <c r="G5" s="35">
        <f>AVERAGE(B5,C5,D5,E5)</f>
        <v>2.5</v>
      </c>
      <c r="H5" s="33" t="s">
        <v>28</v>
      </c>
      <c r="J5" s="33"/>
    </row>
    <row r="6" spans="2:10" x14ac:dyDescent="0.3">
      <c r="B6" s="34">
        <v>3.1926000000000001</v>
      </c>
      <c r="C6" s="34">
        <v>1.2</v>
      </c>
      <c r="D6" s="34">
        <v>3.2</v>
      </c>
      <c r="E6" s="34">
        <v>4.8</v>
      </c>
      <c r="G6" s="35">
        <f t="shared" ref="G6:G14" si="0">AVERAGE(B6,C6,D6,E6)</f>
        <v>3.09815</v>
      </c>
      <c r="H6" s="33" t="s">
        <v>29</v>
      </c>
      <c r="J6" s="33"/>
    </row>
    <row r="7" spans="2:10" x14ac:dyDescent="0.3">
      <c r="B7" s="36">
        <v>-1</v>
      </c>
      <c r="C7" s="36">
        <v>-2</v>
      </c>
      <c r="D7" s="34">
        <v>-3</v>
      </c>
      <c r="E7" s="34">
        <v>-4</v>
      </c>
      <c r="G7" s="35">
        <f t="shared" si="0"/>
        <v>-2.5</v>
      </c>
      <c r="H7" s="33" t="s">
        <v>30</v>
      </c>
      <c r="J7" s="33"/>
    </row>
    <row r="8" spans="2:10" x14ac:dyDescent="0.3">
      <c r="B8" s="37">
        <v>47119</v>
      </c>
      <c r="C8" s="36">
        <v>30</v>
      </c>
      <c r="D8" s="34">
        <v>55.2</v>
      </c>
      <c r="E8" s="34">
        <v>8</v>
      </c>
      <c r="G8" s="35">
        <f t="shared" si="0"/>
        <v>11803.05</v>
      </c>
      <c r="H8" s="33" t="s">
        <v>31</v>
      </c>
      <c r="J8" s="33"/>
    </row>
    <row r="9" spans="2:10" x14ac:dyDescent="0.3">
      <c r="B9" s="38">
        <v>0.78125</v>
      </c>
      <c r="C9" s="36">
        <v>10</v>
      </c>
      <c r="D9" s="34">
        <v>15</v>
      </c>
      <c r="E9" s="34">
        <v>3</v>
      </c>
      <c r="G9" s="35">
        <f t="shared" si="0"/>
        <v>7.1953125</v>
      </c>
      <c r="H9" s="33" t="s">
        <v>32</v>
      </c>
      <c r="J9" s="33"/>
    </row>
    <row r="10" spans="2:10" x14ac:dyDescent="0.3">
      <c r="B10" s="36">
        <v>5</v>
      </c>
      <c r="C10" s="36">
        <v>10</v>
      </c>
      <c r="D10" s="34">
        <v>0</v>
      </c>
      <c r="E10" s="34">
        <v>15</v>
      </c>
      <c r="G10" s="35">
        <f t="shared" si="0"/>
        <v>7.5</v>
      </c>
      <c r="H10" s="33" t="s">
        <v>75</v>
      </c>
      <c r="J10" s="33"/>
    </row>
    <row r="11" spans="2:10" x14ac:dyDescent="0.3">
      <c r="B11" s="36">
        <v>5</v>
      </c>
      <c r="C11" s="36">
        <v>10</v>
      </c>
      <c r="D11" s="34"/>
      <c r="E11" s="34">
        <v>15</v>
      </c>
      <c r="G11" s="35">
        <f t="shared" si="0"/>
        <v>10</v>
      </c>
      <c r="H11" s="33" t="s">
        <v>76</v>
      </c>
      <c r="J11" s="33"/>
    </row>
    <row r="12" spans="2:10" x14ac:dyDescent="0.3">
      <c r="B12" s="34">
        <v>5</v>
      </c>
      <c r="C12" s="34" t="s">
        <v>33</v>
      </c>
      <c r="D12" s="34">
        <v>1</v>
      </c>
      <c r="E12" s="34">
        <v>1</v>
      </c>
      <c r="G12" s="35">
        <f t="shared" si="0"/>
        <v>2.3333333333333335</v>
      </c>
      <c r="H12" s="33" t="s">
        <v>35</v>
      </c>
    </row>
    <row r="13" spans="2:10" x14ac:dyDescent="0.3">
      <c r="B13" s="34" t="s">
        <v>36</v>
      </c>
      <c r="C13" s="34" t="s">
        <v>37</v>
      </c>
      <c r="D13" s="34" t="s">
        <v>38</v>
      </c>
      <c r="E13" s="34" t="s">
        <v>39</v>
      </c>
      <c r="G13" s="35" t="e">
        <f t="shared" si="0"/>
        <v>#DIV/0!</v>
      </c>
      <c r="H13" s="33" t="s">
        <v>35</v>
      </c>
      <c r="J13" s="33"/>
    </row>
    <row r="14" spans="2:10" x14ac:dyDescent="0.3">
      <c r="B14" s="34">
        <v>1</v>
      </c>
      <c r="C14" s="34">
        <v>2</v>
      </c>
      <c r="D14" s="34" t="e">
        <f>VLOOKUP(G7,G5:G6,1,0)</f>
        <v>#N/A</v>
      </c>
      <c r="E14" s="34">
        <v>3</v>
      </c>
      <c r="G14" s="35" t="e">
        <f t="shared" si="0"/>
        <v>#N/A</v>
      </c>
      <c r="H14" s="33" t="s">
        <v>77</v>
      </c>
      <c r="J14" s="3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15"/>
  <sheetViews>
    <sheetView workbookViewId="0">
      <selection activeCell="D5" sqref="D5"/>
    </sheetView>
  </sheetViews>
  <sheetFormatPr defaultRowHeight="14.4" x14ac:dyDescent="0.3"/>
  <cols>
    <col min="2" max="2" width="14.5546875" bestFit="1" customWidth="1"/>
    <col min="3" max="3" width="15.109375" customWidth="1"/>
    <col min="4" max="4" width="14.44140625" customWidth="1"/>
    <col min="5" max="5" width="11.21875" bestFit="1" customWidth="1"/>
    <col min="7" max="7" width="11.21875" bestFit="1" customWidth="1"/>
  </cols>
  <sheetData>
    <row r="1" spans="2:10" x14ac:dyDescent="0.3">
      <c r="J1" s="5"/>
    </row>
    <row r="2" spans="2:10" ht="21" x14ac:dyDescent="0.4">
      <c r="B2" s="1" t="s">
        <v>78</v>
      </c>
    </row>
    <row r="4" spans="2:10" ht="15.6" x14ac:dyDescent="0.3">
      <c r="B4" s="86" t="s">
        <v>79</v>
      </c>
      <c r="C4" s="86" t="s">
        <v>80</v>
      </c>
      <c r="D4" s="86" t="s">
        <v>81</v>
      </c>
    </row>
    <row r="5" spans="2:10" x14ac:dyDescent="0.3">
      <c r="B5" s="39" t="s">
        <v>82</v>
      </c>
      <c r="C5" s="40">
        <v>110000</v>
      </c>
      <c r="D5" s="41" t="str">
        <f>IF(C5&gt;=90000,"Да","Нет")</f>
        <v>Да</v>
      </c>
      <c r="F5" s="2"/>
      <c r="G5" s="10"/>
    </row>
    <row r="6" spans="2:10" x14ac:dyDescent="0.3">
      <c r="B6" s="39" t="s">
        <v>83</v>
      </c>
      <c r="C6" s="40">
        <v>113000</v>
      </c>
      <c r="D6" s="41" t="str">
        <f t="shared" ref="D6:D15" si="0">IF(C6&gt;=90000,"Да","Нет")</f>
        <v>Да</v>
      </c>
      <c r="F6" s="2"/>
      <c r="G6" s="10"/>
    </row>
    <row r="7" spans="2:10" x14ac:dyDescent="0.3">
      <c r="B7" s="39" t="s">
        <v>84</v>
      </c>
      <c r="C7" s="40">
        <v>106000</v>
      </c>
      <c r="D7" s="41" t="str">
        <f t="shared" si="0"/>
        <v>Да</v>
      </c>
      <c r="F7" s="2"/>
      <c r="G7" s="10"/>
    </row>
    <row r="8" spans="2:10" x14ac:dyDescent="0.3">
      <c r="B8" s="39" t="s">
        <v>85</v>
      </c>
      <c r="C8" s="40">
        <v>84000</v>
      </c>
      <c r="D8" s="41" t="str">
        <f t="shared" si="0"/>
        <v>Нет</v>
      </c>
      <c r="F8" s="2"/>
      <c r="G8" s="10"/>
    </row>
    <row r="9" spans="2:10" x14ac:dyDescent="0.3">
      <c r="B9" s="39" t="s">
        <v>86</v>
      </c>
      <c r="C9" s="40">
        <v>134000</v>
      </c>
      <c r="D9" s="41" t="str">
        <f t="shared" si="0"/>
        <v>Да</v>
      </c>
      <c r="F9" s="2"/>
      <c r="G9" s="10"/>
    </row>
    <row r="10" spans="2:10" x14ac:dyDescent="0.3">
      <c r="B10" s="39" t="s">
        <v>87</v>
      </c>
      <c r="C10" s="40">
        <v>51000</v>
      </c>
      <c r="D10" s="41" t="str">
        <f t="shared" si="0"/>
        <v>Нет</v>
      </c>
      <c r="F10" s="2"/>
      <c r="G10" s="10"/>
    </row>
    <row r="11" spans="2:10" x14ac:dyDescent="0.3">
      <c r="B11" s="39" t="s">
        <v>88</v>
      </c>
      <c r="C11" s="40">
        <v>83000</v>
      </c>
      <c r="D11" s="41" t="str">
        <f t="shared" si="0"/>
        <v>Нет</v>
      </c>
      <c r="F11" s="2"/>
      <c r="G11" s="10"/>
    </row>
    <row r="12" spans="2:10" x14ac:dyDescent="0.3">
      <c r="B12" s="39" t="s">
        <v>89</v>
      </c>
      <c r="C12" s="40">
        <v>75000</v>
      </c>
      <c r="D12" s="41" t="str">
        <f t="shared" si="0"/>
        <v>Нет</v>
      </c>
      <c r="F12" s="2"/>
      <c r="G12" s="10"/>
    </row>
    <row r="13" spans="2:10" x14ac:dyDescent="0.3">
      <c r="B13" s="39" t="s">
        <v>90</v>
      </c>
      <c r="C13" s="40">
        <v>92000</v>
      </c>
      <c r="D13" s="41" t="str">
        <f t="shared" si="0"/>
        <v>Да</v>
      </c>
      <c r="F13" s="2"/>
      <c r="G13" s="10"/>
    </row>
    <row r="14" spans="2:10" x14ac:dyDescent="0.3">
      <c r="B14" s="42" t="s">
        <v>91</v>
      </c>
      <c r="C14" s="40">
        <v>99000</v>
      </c>
      <c r="D14" s="41" t="str">
        <f t="shared" si="0"/>
        <v>Да</v>
      </c>
      <c r="F14" s="2"/>
    </row>
    <row r="15" spans="2:10" x14ac:dyDescent="0.3">
      <c r="B15" s="42" t="s">
        <v>92</v>
      </c>
      <c r="C15" s="40">
        <v>61000</v>
      </c>
      <c r="D15" s="41" t="str">
        <f t="shared" si="0"/>
        <v>Нет</v>
      </c>
      <c r="F15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15"/>
  <sheetViews>
    <sheetView workbookViewId="0">
      <selection activeCell="F5" sqref="F5:F14"/>
    </sheetView>
  </sheetViews>
  <sheetFormatPr defaultRowHeight="14.4" x14ac:dyDescent="0.3"/>
  <cols>
    <col min="2" max="2" width="11.109375" customWidth="1"/>
    <col min="3" max="3" width="13.77734375" customWidth="1"/>
    <col min="4" max="4" width="6.33203125" customWidth="1"/>
    <col min="5" max="5" width="11.21875" customWidth="1"/>
    <col min="6" max="6" width="13.77734375" customWidth="1"/>
    <col min="7" max="7" width="11.21875" bestFit="1" customWidth="1"/>
    <col min="9" max="9" width="11.21875" bestFit="1" customWidth="1"/>
  </cols>
  <sheetData>
    <row r="1" spans="2:10" x14ac:dyDescent="0.3">
      <c r="J1" s="5"/>
    </row>
    <row r="2" spans="2:10" ht="21" x14ac:dyDescent="0.4">
      <c r="B2" s="1" t="s">
        <v>130</v>
      </c>
      <c r="D2" s="8"/>
      <c r="E2" s="8" t="s">
        <v>131</v>
      </c>
    </row>
    <row r="3" spans="2:10" x14ac:dyDescent="0.3">
      <c r="C3" s="2"/>
      <c r="D3" s="2"/>
      <c r="E3" s="2"/>
      <c r="F3" s="2"/>
    </row>
    <row r="4" spans="2:10" ht="15.6" x14ac:dyDescent="0.3">
      <c r="B4" s="86" t="s">
        <v>99</v>
      </c>
      <c r="C4" s="86" t="s">
        <v>130</v>
      </c>
      <c r="D4" s="2"/>
      <c r="E4" s="86" t="s">
        <v>132</v>
      </c>
      <c r="F4" s="86" t="s">
        <v>131</v>
      </c>
    </row>
    <row r="5" spans="2:10" x14ac:dyDescent="0.3">
      <c r="B5" s="3">
        <v>80</v>
      </c>
      <c r="C5" s="3" t="b">
        <f>IF(AND(B5&gt;100,B5&lt;130),"УРА")</f>
        <v>0</v>
      </c>
      <c r="D5" s="2"/>
      <c r="E5" s="3" t="s">
        <v>133</v>
      </c>
      <c r="F5" s="3" t="b">
        <f>OR(E5="СИНИЙ",E5="КРАСНЫЙ")</f>
        <v>1</v>
      </c>
      <c r="G5" s="2"/>
      <c r="I5" s="10"/>
    </row>
    <row r="6" spans="2:10" x14ac:dyDescent="0.3">
      <c r="B6" s="3">
        <v>110</v>
      </c>
      <c r="C6" s="3" t="str">
        <f t="shared" ref="C6:C14" si="0">IF(AND(B6&gt;100,B6&lt;130),"УРА")</f>
        <v>УРА</v>
      </c>
      <c r="D6" s="2"/>
      <c r="E6" s="3" t="s">
        <v>134</v>
      </c>
      <c r="F6" s="3" t="b">
        <f t="shared" ref="F6:F14" si="1">OR(E6="СИНИЙ",E6="КРАСНЫЙ")</f>
        <v>1</v>
      </c>
      <c r="G6" s="2"/>
    </row>
    <row r="7" spans="2:10" x14ac:dyDescent="0.3">
      <c r="B7" s="3">
        <v>80</v>
      </c>
      <c r="C7" s="3" t="b">
        <f t="shared" si="0"/>
        <v>0</v>
      </c>
      <c r="D7" s="2"/>
      <c r="E7" s="3" t="s">
        <v>133</v>
      </c>
      <c r="F7" s="3" t="b">
        <f t="shared" si="1"/>
        <v>1</v>
      </c>
      <c r="G7" s="2"/>
    </row>
    <row r="8" spans="2:10" x14ac:dyDescent="0.3">
      <c r="B8" s="3">
        <v>110</v>
      </c>
      <c r="C8" s="3" t="str">
        <f t="shared" si="0"/>
        <v>УРА</v>
      </c>
      <c r="D8" s="2"/>
      <c r="E8" s="3" t="s">
        <v>135</v>
      </c>
      <c r="F8" s="3" t="b">
        <f t="shared" si="1"/>
        <v>0</v>
      </c>
      <c r="G8" s="2"/>
    </row>
    <row r="9" spans="2:10" x14ac:dyDescent="0.3">
      <c r="B9" s="3">
        <v>60</v>
      </c>
      <c r="C9" s="3" t="b">
        <f t="shared" si="0"/>
        <v>0</v>
      </c>
      <c r="D9" s="2"/>
      <c r="E9" s="3" t="s">
        <v>134</v>
      </c>
      <c r="F9" s="3" t="b">
        <f t="shared" si="1"/>
        <v>1</v>
      </c>
      <c r="G9" s="2"/>
    </row>
    <row r="10" spans="2:10" x14ac:dyDescent="0.3">
      <c r="B10" s="3">
        <v>80</v>
      </c>
      <c r="C10" s="3" t="b">
        <f t="shared" si="0"/>
        <v>0</v>
      </c>
      <c r="D10" s="2"/>
      <c r="E10" s="3" t="s">
        <v>136</v>
      </c>
      <c r="F10" s="3" t="b">
        <f t="shared" si="1"/>
        <v>0</v>
      </c>
      <c r="G10" s="2"/>
      <c r="I10" s="10"/>
    </row>
    <row r="11" spans="2:10" x14ac:dyDescent="0.3">
      <c r="B11" s="3">
        <v>110</v>
      </c>
      <c r="C11" s="3" t="str">
        <f t="shared" si="0"/>
        <v>УРА</v>
      </c>
      <c r="D11" s="2"/>
      <c r="E11" s="3" t="s">
        <v>134</v>
      </c>
      <c r="F11" s="3" t="b">
        <f t="shared" si="1"/>
        <v>1</v>
      </c>
      <c r="G11" s="2"/>
      <c r="I11" s="10"/>
    </row>
    <row r="12" spans="2:10" x14ac:dyDescent="0.3">
      <c r="B12" s="3">
        <v>120</v>
      </c>
      <c r="C12" s="3" t="str">
        <f t="shared" si="0"/>
        <v>УРА</v>
      </c>
      <c r="D12" s="2"/>
      <c r="E12" s="3" t="s">
        <v>134</v>
      </c>
      <c r="F12" s="3" t="b">
        <f t="shared" si="1"/>
        <v>1</v>
      </c>
      <c r="G12" s="2"/>
      <c r="I12" s="10"/>
    </row>
    <row r="13" spans="2:10" x14ac:dyDescent="0.3">
      <c r="B13" s="3">
        <v>70</v>
      </c>
      <c r="C13" s="3" t="b">
        <f t="shared" si="0"/>
        <v>0</v>
      </c>
      <c r="D13" s="2"/>
      <c r="E13" s="3" t="s">
        <v>135</v>
      </c>
      <c r="F13" s="3" t="b">
        <f t="shared" si="1"/>
        <v>0</v>
      </c>
      <c r="G13" s="2"/>
      <c r="I13" s="10"/>
    </row>
    <row r="14" spans="2:10" x14ac:dyDescent="0.3">
      <c r="B14" s="3">
        <v>140</v>
      </c>
      <c r="C14" s="3" t="b">
        <f t="shared" si="0"/>
        <v>0</v>
      </c>
      <c r="D14" s="2"/>
      <c r="E14" s="3" t="s">
        <v>136</v>
      </c>
      <c r="F14" s="3" t="b">
        <f t="shared" si="1"/>
        <v>0</v>
      </c>
      <c r="G14" s="2"/>
    </row>
    <row r="15" spans="2:10" x14ac:dyDescent="0.3">
      <c r="D15" s="2"/>
    </row>
  </sheetData>
  <conditionalFormatting sqref="C5:C14">
    <cfRule type="cellIs" dxfId="3" priority="2" operator="equal">
      <formula>TRUE</formula>
    </cfRule>
  </conditionalFormatting>
  <conditionalFormatting sqref="F5:F14">
    <cfRule type="cellIs" dxfId="2" priority="1" operator="equal">
      <formula>TRUE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3"/>
  <sheetViews>
    <sheetView workbookViewId="0">
      <selection activeCell="H8" sqref="H8"/>
    </sheetView>
  </sheetViews>
  <sheetFormatPr defaultRowHeight="14.4" x14ac:dyDescent="0.3"/>
  <cols>
    <col min="2" max="2" width="17.6640625" bestFit="1" customWidth="1"/>
    <col min="3" max="3" width="10.21875" bestFit="1" customWidth="1"/>
    <col min="4" max="4" width="15.88671875" bestFit="1" customWidth="1"/>
    <col min="5" max="5" width="14.6640625" bestFit="1" customWidth="1"/>
    <col min="6" max="6" width="5.44140625" customWidth="1"/>
    <col min="7" max="7" width="19.6640625" bestFit="1" customWidth="1"/>
    <col min="8" max="8" width="10.44140625" bestFit="1" customWidth="1"/>
  </cols>
  <sheetData>
    <row r="1" spans="2:10" x14ac:dyDescent="0.3">
      <c r="J1" s="5"/>
    </row>
    <row r="2" spans="2:10" ht="21" x14ac:dyDescent="0.4">
      <c r="B2" s="1" t="s">
        <v>93</v>
      </c>
      <c r="C2" s="8"/>
      <c r="D2" s="43"/>
      <c r="E2" s="43"/>
    </row>
    <row r="3" spans="2:10" x14ac:dyDescent="0.3">
      <c r="D3" s="2"/>
      <c r="E3" s="2"/>
    </row>
    <row r="4" spans="2:10" ht="15.6" x14ac:dyDescent="0.3">
      <c r="B4" s="86" t="s">
        <v>94</v>
      </c>
      <c r="C4" s="86" t="s">
        <v>95</v>
      </c>
      <c r="D4" s="86" t="s">
        <v>96</v>
      </c>
      <c r="E4" s="91" t="s">
        <v>97</v>
      </c>
      <c r="G4" s="44" t="s">
        <v>98</v>
      </c>
      <c r="H4" s="44" t="s">
        <v>99</v>
      </c>
    </row>
    <row r="5" spans="2:10" x14ac:dyDescent="0.3">
      <c r="B5" s="3" t="s">
        <v>100</v>
      </c>
      <c r="C5" s="27">
        <v>5500</v>
      </c>
      <c r="D5" s="45">
        <v>4.5299999999999994</v>
      </c>
      <c r="E5" s="3" t="s">
        <v>101</v>
      </c>
      <c r="G5" s="3" t="s">
        <v>102</v>
      </c>
      <c r="H5" s="26">
        <f>COUNTIF(C5:C13,"&lt;5000")</f>
        <v>6</v>
      </c>
    </row>
    <row r="6" spans="2:10" x14ac:dyDescent="0.3">
      <c r="B6" s="3" t="s">
        <v>103</v>
      </c>
      <c r="C6" s="27">
        <v>1800</v>
      </c>
      <c r="D6" s="45">
        <v>4.84</v>
      </c>
      <c r="E6" s="3" t="s">
        <v>104</v>
      </c>
      <c r="G6" s="3" t="s">
        <v>105</v>
      </c>
      <c r="H6" s="26">
        <f>COUNTIF(D5:D13,"&gt;=4")</f>
        <v>4</v>
      </c>
    </row>
    <row r="7" spans="2:10" x14ac:dyDescent="0.3">
      <c r="B7" s="3" t="s">
        <v>106</v>
      </c>
      <c r="C7" s="27">
        <v>2500</v>
      </c>
      <c r="D7" s="45">
        <v>2.2999999999999998</v>
      </c>
      <c r="E7" s="3" t="s">
        <v>104</v>
      </c>
      <c r="G7" s="3" t="s">
        <v>107</v>
      </c>
      <c r="H7" s="26">
        <f>COUNTIF(E5:E13,"да")</f>
        <v>3</v>
      </c>
    </row>
    <row r="8" spans="2:10" x14ac:dyDescent="0.3">
      <c r="B8" s="3" t="s">
        <v>108</v>
      </c>
      <c r="C8" s="27">
        <v>4900</v>
      </c>
      <c r="D8" s="45">
        <v>2.1</v>
      </c>
      <c r="E8" s="3" t="s">
        <v>101</v>
      </c>
      <c r="G8" s="2"/>
    </row>
    <row r="9" spans="2:10" x14ac:dyDescent="0.3">
      <c r="B9" s="3" t="s">
        <v>109</v>
      </c>
      <c r="C9" s="27">
        <v>4800</v>
      </c>
      <c r="D9" s="45">
        <v>1.23</v>
      </c>
      <c r="E9" s="3" t="s">
        <v>101</v>
      </c>
      <c r="G9" s="2"/>
    </row>
    <row r="10" spans="2:10" x14ac:dyDescent="0.3">
      <c r="B10" s="12" t="s">
        <v>110</v>
      </c>
      <c r="C10" s="27">
        <v>5700</v>
      </c>
      <c r="D10" s="45">
        <v>4.34</v>
      </c>
      <c r="E10" s="3" t="s">
        <v>104</v>
      </c>
      <c r="G10" s="2"/>
    </row>
    <row r="11" spans="2:10" x14ac:dyDescent="0.3">
      <c r="B11" s="3" t="s">
        <v>111</v>
      </c>
      <c r="C11" s="27">
        <v>2400</v>
      </c>
      <c r="D11" s="45">
        <v>2.2599999999999998</v>
      </c>
      <c r="E11" s="3" t="s">
        <v>104</v>
      </c>
    </row>
    <row r="12" spans="2:10" x14ac:dyDescent="0.3">
      <c r="B12" s="3" t="s">
        <v>112</v>
      </c>
      <c r="C12" s="27">
        <v>3300</v>
      </c>
      <c r="D12" s="45">
        <v>4.8</v>
      </c>
      <c r="E12" s="3" t="s">
        <v>104</v>
      </c>
      <c r="G12" s="2"/>
    </row>
    <row r="13" spans="2:10" x14ac:dyDescent="0.3">
      <c r="B13" s="3" t="s">
        <v>113</v>
      </c>
      <c r="C13" s="27">
        <v>6200</v>
      </c>
      <c r="D13" s="45">
        <v>3.24</v>
      </c>
      <c r="E13" s="3" t="s">
        <v>104</v>
      </c>
      <c r="G13" s="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13"/>
  <sheetViews>
    <sheetView workbookViewId="0">
      <selection activeCell="H6" sqref="H6"/>
    </sheetView>
  </sheetViews>
  <sheetFormatPr defaultRowHeight="14.4" x14ac:dyDescent="0.3"/>
  <cols>
    <col min="2" max="2" width="16.77734375" bestFit="1" customWidth="1"/>
    <col min="3" max="3" width="16.5546875" bestFit="1" customWidth="1"/>
    <col min="4" max="4" width="17.33203125" bestFit="1" customWidth="1"/>
    <col min="5" max="5" width="8.109375" bestFit="1" customWidth="1"/>
    <col min="6" max="6" width="8.6640625" bestFit="1" customWidth="1"/>
    <col min="7" max="7" width="14.5546875" customWidth="1"/>
    <col min="8" max="8" width="11.21875" bestFit="1" customWidth="1"/>
  </cols>
  <sheetData>
    <row r="1" spans="2:11" x14ac:dyDescent="0.3">
      <c r="J1" s="5"/>
    </row>
    <row r="2" spans="2:11" ht="21" x14ac:dyDescent="0.4">
      <c r="B2" s="1" t="s">
        <v>114</v>
      </c>
      <c r="C2" s="8"/>
      <c r="D2" s="43"/>
    </row>
    <row r="3" spans="2:11" x14ac:dyDescent="0.3">
      <c r="D3" s="2"/>
    </row>
    <row r="4" spans="2:11" ht="15.6" x14ac:dyDescent="0.3">
      <c r="B4" s="86" t="s">
        <v>115</v>
      </c>
      <c r="C4" s="86" t="s">
        <v>116</v>
      </c>
      <c r="D4" s="86" t="s">
        <v>117</v>
      </c>
      <c r="G4" s="46" t="s">
        <v>115</v>
      </c>
      <c r="H4" s="46" t="s">
        <v>5</v>
      </c>
    </row>
    <row r="5" spans="2:11" x14ac:dyDescent="0.3">
      <c r="B5" s="28" t="s">
        <v>118</v>
      </c>
      <c r="C5" s="3" t="s">
        <v>119</v>
      </c>
      <c r="D5" s="47">
        <v>17000</v>
      </c>
      <c r="G5" s="3" t="s">
        <v>118</v>
      </c>
      <c r="H5" s="48">
        <f>SUMIF(B5:B13,G5,D5:D13)</f>
        <v>33000</v>
      </c>
      <c r="K5" s="2"/>
    </row>
    <row r="6" spans="2:11" x14ac:dyDescent="0.3">
      <c r="B6" s="28" t="s">
        <v>120</v>
      </c>
      <c r="C6" s="3" t="s">
        <v>121</v>
      </c>
      <c r="D6" s="47">
        <v>14000</v>
      </c>
      <c r="K6" s="2"/>
    </row>
    <row r="7" spans="2:11" x14ac:dyDescent="0.3">
      <c r="B7" s="28" t="s">
        <v>118</v>
      </c>
      <c r="C7" s="12" t="s">
        <v>121</v>
      </c>
      <c r="D7" s="47">
        <v>8000</v>
      </c>
      <c r="K7" s="2"/>
    </row>
    <row r="8" spans="2:11" x14ac:dyDescent="0.3">
      <c r="B8" s="28" t="s">
        <v>122</v>
      </c>
      <c r="C8" s="3" t="s">
        <v>119</v>
      </c>
      <c r="D8" s="47">
        <v>13000</v>
      </c>
      <c r="K8" s="2"/>
    </row>
    <row r="9" spans="2:11" x14ac:dyDescent="0.3">
      <c r="B9" s="28" t="s">
        <v>123</v>
      </c>
      <c r="C9" s="3" t="s">
        <v>119</v>
      </c>
      <c r="D9" s="47">
        <v>9000</v>
      </c>
      <c r="K9" s="2"/>
    </row>
    <row r="10" spans="2:11" x14ac:dyDescent="0.3">
      <c r="B10" s="49" t="s">
        <v>124</v>
      </c>
      <c r="C10" s="12" t="s">
        <v>121</v>
      </c>
      <c r="D10" s="47">
        <v>22000</v>
      </c>
      <c r="K10" s="2"/>
    </row>
    <row r="11" spans="2:11" x14ac:dyDescent="0.3">
      <c r="B11" s="28" t="s">
        <v>118</v>
      </c>
      <c r="C11" s="3" t="s">
        <v>121</v>
      </c>
      <c r="D11" s="47">
        <v>8000</v>
      </c>
    </row>
    <row r="12" spans="2:11" x14ac:dyDescent="0.3">
      <c r="B12" s="28" t="s">
        <v>122</v>
      </c>
      <c r="C12" s="3" t="s">
        <v>119</v>
      </c>
      <c r="D12" s="47">
        <v>14000</v>
      </c>
      <c r="K12" s="2"/>
    </row>
    <row r="13" spans="2:11" x14ac:dyDescent="0.3">
      <c r="B13" s="28" t="s">
        <v>124</v>
      </c>
      <c r="C13" s="3" t="s">
        <v>125</v>
      </c>
      <c r="D13" s="47">
        <v>16000</v>
      </c>
      <c r="K13" s="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J13"/>
  <sheetViews>
    <sheetView workbookViewId="0">
      <selection activeCell="H8" sqref="H8"/>
    </sheetView>
  </sheetViews>
  <sheetFormatPr defaultRowHeight="14.4" x14ac:dyDescent="0.3"/>
  <cols>
    <col min="2" max="3" width="10.21875" bestFit="1" customWidth="1"/>
    <col min="4" max="4" width="11" bestFit="1" customWidth="1"/>
    <col min="5" max="5" width="13.6640625" bestFit="1" customWidth="1"/>
    <col min="6" max="6" width="5.44140625" customWidth="1"/>
    <col min="7" max="7" width="14.6640625" bestFit="1" customWidth="1"/>
    <col min="8" max="8" width="10.44140625" bestFit="1" customWidth="1"/>
  </cols>
  <sheetData>
    <row r="1" spans="2:10" x14ac:dyDescent="0.3">
      <c r="J1" s="5"/>
    </row>
    <row r="2" spans="2:10" ht="21" x14ac:dyDescent="0.4">
      <c r="B2" s="1" t="s">
        <v>226</v>
      </c>
      <c r="C2" s="8"/>
      <c r="D2" s="43"/>
      <c r="E2" s="43"/>
    </row>
    <row r="3" spans="2:10" x14ac:dyDescent="0.3">
      <c r="D3" s="2"/>
      <c r="E3" s="2"/>
    </row>
    <row r="4" spans="2:10" ht="15.6" x14ac:dyDescent="0.3">
      <c r="B4" s="86" t="s">
        <v>227</v>
      </c>
      <c r="C4" s="86" t="s">
        <v>228</v>
      </c>
      <c r="D4" s="86" t="s">
        <v>229</v>
      </c>
      <c r="E4" s="91" t="s">
        <v>230</v>
      </c>
      <c r="G4" s="44" t="s">
        <v>98</v>
      </c>
      <c r="H4" s="44" t="s">
        <v>231</v>
      </c>
    </row>
    <row r="5" spans="2:10" x14ac:dyDescent="0.3">
      <c r="B5" s="3" t="s">
        <v>232</v>
      </c>
      <c r="C5" s="27">
        <v>6500</v>
      </c>
      <c r="D5" s="3" t="s">
        <v>101</v>
      </c>
      <c r="E5" s="3">
        <v>3</v>
      </c>
      <c r="G5" s="3" t="s">
        <v>233</v>
      </c>
      <c r="H5" s="52">
        <f>AVERAGEIF(C5:C13,"&gt;5000",C5:C13)</f>
        <v>6733.333333333333</v>
      </c>
    </row>
    <row r="6" spans="2:10" x14ac:dyDescent="0.3">
      <c r="B6" s="3" t="s">
        <v>234</v>
      </c>
      <c r="C6" s="27">
        <v>4500</v>
      </c>
      <c r="D6" s="3" t="s">
        <v>104</v>
      </c>
      <c r="E6" s="3">
        <v>2</v>
      </c>
      <c r="G6" s="3" t="s">
        <v>235</v>
      </c>
      <c r="H6" s="52">
        <f>AVERAGEIF(E5:E13,"&gt;=2",E5:E13)</f>
        <v>2.5714285714285716</v>
      </c>
    </row>
    <row r="7" spans="2:10" x14ac:dyDescent="0.3">
      <c r="B7" s="3" t="s">
        <v>236</v>
      </c>
      <c r="C7" s="27">
        <v>4300</v>
      </c>
      <c r="D7" s="3" t="s">
        <v>104</v>
      </c>
      <c r="E7" s="3">
        <v>2</v>
      </c>
      <c r="G7" s="3" t="s">
        <v>237</v>
      </c>
      <c r="H7" s="52">
        <f>AVERAGEIF(D5:D13,"да",E5:E13)</f>
        <v>2.25</v>
      </c>
    </row>
    <row r="8" spans="2:10" x14ac:dyDescent="0.3">
      <c r="B8" s="3" t="s">
        <v>238</v>
      </c>
      <c r="C8" s="27">
        <v>6400</v>
      </c>
      <c r="D8" s="3" t="s">
        <v>101</v>
      </c>
      <c r="E8" s="3">
        <v>1</v>
      </c>
      <c r="G8" s="2"/>
    </row>
    <row r="9" spans="2:10" x14ac:dyDescent="0.3">
      <c r="B9" s="3" t="s">
        <v>239</v>
      </c>
      <c r="C9" s="27">
        <v>7300</v>
      </c>
      <c r="D9" s="3" t="s">
        <v>101</v>
      </c>
      <c r="E9" s="3">
        <v>1</v>
      </c>
      <c r="G9" s="2"/>
    </row>
    <row r="10" spans="2:10" x14ac:dyDescent="0.3">
      <c r="B10" s="12" t="s">
        <v>240</v>
      </c>
      <c r="C10" s="27">
        <v>3800</v>
      </c>
      <c r="D10" s="3" t="s">
        <v>104</v>
      </c>
      <c r="E10" s="3">
        <v>3</v>
      </c>
      <c r="G10" s="2"/>
    </row>
    <row r="11" spans="2:10" x14ac:dyDescent="0.3">
      <c r="B11" s="3" t="s">
        <v>241</v>
      </c>
      <c r="C11" s="27">
        <v>4300</v>
      </c>
      <c r="D11" s="3" t="s">
        <v>101</v>
      </c>
      <c r="E11" s="3">
        <v>4</v>
      </c>
    </row>
    <row r="12" spans="2:10" x14ac:dyDescent="0.3">
      <c r="B12" s="3" t="s">
        <v>242</v>
      </c>
      <c r="C12" s="27">
        <v>3700</v>
      </c>
      <c r="D12" s="3" t="s">
        <v>104</v>
      </c>
      <c r="E12" s="3">
        <v>2</v>
      </c>
      <c r="G12" s="2"/>
    </row>
    <row r="13" spans="2:10" x14ac:dyDescent="0.3">
      <c r="B13" s="3" t="s">
        <v>243</v>
      </c>
      <c r="C13" s="27">
        <v>1500</v>
      </c>
      <c r="D13" s="3" t="s">
        <v>104</v>
      </c>
      <c r="E13" s="3">
        <v>2</v>
      </c>
      <c r="G13" s="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15"/>
  <sheetViews>
    <sheetView workbookViewId="0">
      <selection activeCell="E11" sqref="E11"/>
    </sheetView>
  </sheetViews>
  <sheetFormatPr defaultRowHeight="14.4" x14ac:dyDescent="0.3"/>
  <cols>
    <col min="2" max="2" width="11.21875" bestFit="1" customWidth="1"/>
    <col min="3" max="3" width="11.21875" customWidth="1"/>
    <col min="4" max="4" width="6.44140625" customWidth="1"/>
    <col min="5" max="5" width="17.44140625" customWidth="1"/>
  </cols>
  <sheetData>
    <row r="2" spans="1:6" ht="21" x14ac:dyDescent="0.4">
      <c r="B2" s="1" t="s">
        <v>145</v>
      </c>
      <c r="C2" s="1"/>
      <c r="D2" s="7" t="s">
        <v>146</v>
      </c>
      <c r="E2" s="43"/>
    </row>
    <row r="3" spans="1:6" x14ac:dyDescent="0.3">
      <c r="E3" s="2"/>
    </row>
    <row r="4" spans="1:6" ht="15.6" x14ac:dyDescent="0.3">
      <c r="B4" s="86" t="s">
        <v>147</v>
      </c>
      <c r="C4" s="86" t="s">
        <v>148</v>
      </c>
      <c r="E4" s="100" t="s">
        <v>149</v>
      </c>
    </row>
    <row r="5" spans="1:6" x14ac:dyDescent="0.3">
      <c r="B5" s="3" t="s">
        <v>150</v>
      </c>
      <c r="C5" s="3">
        <v>58</v>
      </c>
      <c r="E5" s="101"/>
      <c r="F5" s="2"/>
    </row>
    <row r="6" spans="1:6" x14ac:dyDescent="0.3">
      <c r="B6" s="3" t="s">
        <v>151</v>
      </c>
      <c r="C6" s="3">
        <v>30</v>
      </c>
      <c r="E6" s="26">
        <f>MIN(C6:C15)</f>
        <v>24</v>
      </c>
      <c r="F6" s="2"/>
    </row>
    <row r="7" spans="1:6" ht="15.6" x14ac:dyDescent="0.3">
      <c r="A7" s="50"/>
      <c r="B7" s="3" t="s">
        <v>152</v>
      </c>
      <c r="C7" s="3">
        <v>37</v>
      </c>
      <c r="F7" s="2"/>
    </row>
    <row r="8" spans="1:6" ht="15.6" x14ac:dyDescent="0.3">
      <c r="A8" s="50"/>
      <c r="B8" s="51" t="s">
        <v>153</v>
      </c>
      <c r="C8" s="3">
        <v>96</v>
      </c>
      <c r="E8" s="100" t="s">
        <v>154</v>
      </c>
      <c r="F8" s="2"/>
    </row>
    <row r="9" spans="1:6" ht="15.6" x14ac:dyDescent="0.3">
      <c r="A9" s="50"/>
      <c r="B9" s="39" t="s">
        <v>155</v>
      </c>
      <c r="C9" s="3">
        <v>84</v>
      </c>
      <c r="E9" s="101"/>
      <c r="F9" s="2"/>
    </row>
    <row r="10" spans="1:6" ht="15.6" x14ac:dyDescent="0.3">
      <c r="A10" s="50"/>
      <c r="B10" s="39" t="s">
        <v>156</v>
      </c>
      <c r="C10" s="3">
        <v>89</v>
      </c>
      <c r="E10" s="26">
        <f>MAX(C5:C15)</f>
        <v>96</v>
      </c>
      <c r="F10" s="2"/>
    </row>
    <row r="11" spans="1:6" ht="15.6" x14ac:dyDescent="0.3">
      <c r="A11" s="50"/>
      <c r="B11" s="39" t="s">
        <v>157</v>
      </c>
      <c r="C11" s="3">
        <v>70</v>
      </c>
      <c r="D11" s="2"/>
    </row>
    <row r="12" spans="1:6" ht="15.6" x14ac:dyDescent="0.3">
      <c r="A12" s="50"/>
      <c r="B12" s="39" t="s">
        <v>158</v>
      </c>
      <c r="C12" s="3">
        <v>24</v>
      </c>
      <c r="D12" s="2"/>
      <c r="F12" s="2"/>
    </row>
    <row r="13" spans="1:6" ht="15.6" x14ac:dyDescent="0.3">
      <c r="A13" s="50"/>
      <c r="B13" s="42" t="s">
        <v>159</v>
      </c>
      <c r="C13" s="3">
        <v>62</v>
      </c>
      <c r="D13" s="2"/>
      <c r="F13" s="2"/>
    </row>
    <row r="14" spans="1:6" x14ac:dyDescent="0.3">
      <c r="B14" s="3" t="s">
        <v>160</v>
      </c>
      <c r="C14" s="3">
        <v>78</v>
      </c>
      <c r="D14" s="2"/>
    </row>
    <row r="15" spans="1:6" x14ac:dyDescent="0.3">
      <c r="B15" s="3" t="s">
        <v>161</v>
      </c>
      <c r="C15" s="3">
        <v>72</v>
      </c>
    </row>
  </sheetData>
  <mergeCells count="2">
    <mergeCell ref="E4:E5"/>
    <mergeCell ref="E8:E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11"/>
  <sheetViews>
    <sheetView workbookViewId="0">
      <selection activeCell="C5" sqref="C5:C11"/>
    </sheetView>
  </sheetViews>
  <sheetFormatPr defaultRowHeight="14.4" x14ac:dyDescent="0.3"/>
  <cols>
    <col min="2" max="2" width="37.33203125" customWidth="1"/>
    <col min="3" max="3" width="35.109375" customWidth="1"/>
    <col min="4" max="4" width="26.5546875" bestFit="1" customWidth="1"/>
    <col min="5" max="5" width="10.44140625" bestFit="1" customWidth="1"/>
  </cols>
  <sheetData>
    <row r="1" spans="2:10" x14ac:dyDescent="0.3">
      <c r="J1" s="5"/>
    </row>
    <row r="2" spans="2:10" ht="21" x14ac:dyDescent="0.4">
      <c r="B2" s="1" t="s">
        <v>137</v>
      </c>
    </row>
    <row r="3" spans="2:10" x14ac:dyDescent="0.3">
      <c r="C3" s="2"/>
    </row>
    <row r="4" spans="2:10" ht="15.6" x14ac:dyDescent="0.3">
      <c r="B4" s="86" t="s">
        <v>44</v>
      </c>
      <c r="C4" s="86" t="s">
        <v>5</v>
      </c>
    </row>
    <row r="5" spans="2:10" x14ac:dyDescent="0.3">
      <c r="B5" s="3" t="s">
        <v>138</v>
      </c>
      <c r="C5" s="26" t="str">
        <f>TRIM(B5)</f>
        <v>Лучшее - враг хорошего</v>
      </c>
    </row>
    <row r="6" spans="2:10" x14ac:dyDescent="0.3">
      <c r="B6" s="3" t="s">
        <v>139</v>
      </c>
      <c r="C6" s="26" t="str">
        <f t="shared" ref="C6:C11" si="0">TRIM(B6)</f>
        <v>Семь раз отмерь - один раз отрежь</v>
      </c>
    </row>
    <row r="7" spans="2:10" x14ac:dyDescent="0.3">
      <c r="B7" s="3" t="s">
        <v>140</v>
      </c>
      <c r="C7" s="26" t="str">
        <f t="shared" si="0"/>
        <v>Слово - не воробей</v>
      </c>
    </row>
    <row r="8" spans="2:10" x14ac:dyDescent="0.3">
      <c r="B8" s="3" t="s">
        <v>141</v>
      </c>
      <c r="C8" s="26" t="str">
        <f t="shared" si="0"/>
        <v>Сделал дело - гуляй смело</v>
      </c>
    </row>
    <row r="9" spans="2:10" x14ac:dyDescent="0.3">
      <c r="B9" s="3" t="s">
        <v>142</v>
      </c>
      <c r="C9" s="26" t="str">
        <f t="shared" si="0"/>
        <v>Цыплят по осени считают</v>
      </c>
    </row>
    <row r="10" spans="2:10" x14ac:dyDescent="0.3">
      <c r="B10" s="12" t="s">
        <v>143</v>
      </c>
      <c r="C10" s="26" t="str">
        <f t="shared" si="0"/>
        <v>Береги честь смолоду</v>
      </c>
    </row>
    <row r="11" spans="2:10" x14ac:dyDescent="0.3">
      <c r="B11" s="12" t="s">
        <v>144</v>
      </c>
      <c r="C11" s="26" t="str">
        <f t="shared" si="0"/>
        <v>Семеро одного не ждут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J15"/>
  <sheetViews>
    <sheetView workbookViewId="0">
      <selection activeCell="E7" sqref="E7"/>
    </sheetView>
  </sheetViews>
  <sheetFormatPr defaultRowHeight="14.4" x14ac:dyDescent="0.3"/>
  <cols>
    <col min="2" max="2" width="10.109375" customWidth="1"/>
    <col min="3" max="3" width="28.21875" bestFit="1" customWidth="1"/>
    <col min="4" max="5" width="15.5546875" customWidth="1"/>
    <col min="6" max="6" width="5.44140625" customWidth="1"/>
    <col min="7" max="7" width="26.5546875" bestFit="1" customWidth="1"/>
    <col min="8" max="8" width="10.44140625" bestFit="1" customWidth="1"/>
  </cols>
  <sheetData>
    <row r="1" spans="2:10" x14ac:dyDescent="0.3">
      <c r="J1" s="5"/>
    </row>
    <row r="2" spans="2:10" ht="21" x14ac:dyDescent="0.4">
      <c r="B2" s="1" t="s">
        <v>42</v>
      </c>
      <c r="D2" s="7"/>
    </row>
    <row r="3" spans="2:10" x14ac:dyDescent="0.3">
      <c r="D3" s="2"/>
      <c r="E3" s="2"/>
    </row>
    <row r="4" spans="2:10" ht="31.2" x14ac:dyDescent="0.3">
      <c r="B4" s="86" t="s">
        <v>43</v>
      </c>
      <c r="C4" s="86" t="s">
        <v>44</v>
      </c>
      <c r="D4" s="92" t="s">
        <v>45</v>
      </c>
      <c r="E4" s="92" t="s">
        <v>46</v>
      </c>
    </row>
    <row r="5" spans="2:10" x14ac:dyDescent="0.3">
      <c r="B5" s="3" t="s">
        <v>47</v>
      </c>
      <c r="C5" s="25" t="s">
        <v>48</v>
      </c>
      <c r="D5" s="26">
        <f>SEARCH(B5,C5)</f>
        <v>1</v>
      </c>
      <c r="E5" s="26">
        <f>FIND(B5,C5)</f>
        <v>1</v>
      </c>
      <c r="F5" s="2" t="s">
        <v>49</v>
      </c>
    </row>
    <row r="6" spans="2:10" x14ac:dyDescent="0.3">
      <c r="B6" s="3" t="s">
        <v>50</v>
      </c>
      <c r="C6" s="27" t="s">
        <v>51</v>
      </c>
      <c r="D6" s="26">
        <f t="shared" ref="D6:D15" si="0">SEARCH(B6,C6)</f>
        <v>3</v>
      </c>
      <c r="E6" s="26">
        <f t="shared" ref="E6:E15" si="1">FIND(B6,C6)</f>
        <v>3</v>
      </c>
      <c r="F6" s="2" t="s">
        <v>52</v>
      </c>
    </row>
    <row r="7" spans="2:10" x14ac:dyDescent="0.3">
      <c r="B7" s="3" t="s">
        <v>53</v>
      </c>
      <c r="C7" s="27" t="s">
        <v>54</v>
      </c>
      <c r="D7" s="26">
        <f t="shared" si="0"/>
        <v>6</v>
      </c>
      <c r="E7" s="26">
        <f t="shared" si="1"/>
        <v>6</v>
      </c>
      <c r="F7" s="2" t="s">
        <v>55</v>
      </c>
    </row>
    <row r="8" spans="2:10" x14ac:dyDescent="0.3">
      <c r="B8" s="3" t="s">
        <v>56</v>
      </c>
      <c r="C8" s="25" t="s">
        <v>57</v>
      </c>
      <c r="D8" s="26">
        <f t="shared" si="0"/>
        <v>1</v>
      </c>
      <c r="E8" s="26">
        <f t="shared" si="1"/>
        <v>12</v>
      </c>
      <c r="F8" s="2" t="s">
        <v>58</v>
      </c>
    </row>
    <row r="9" spans="2:10" x14ac:dyDescent="0.3">
      <c r="B9" s="3" t="s">
        <v>59</v>
      </c>
      <c r="C9" s="25" t="s">
        <v>60</v>
      </c>
      <c r="D9" s="26">
        <f t="shared" si="0"/>
        <v>1</v>
      </c>
      <c r="E9" s="26">
        <f t="shared" si="1"/>
        <v>1</v>
      </c>
      <c r="F9" s="2" t="s">
        <v>58</v>
      </c>
    </row>
    <row r="10" spans="2:10" x14ac:dyDescent="0.3">
      <c r="B10" s="12" t="s">
        <v>50</v>
      </c>
      <c r="C10" s="27" t="s">
        <v>61</v>
      </c>
      <c r="D10" s="26" t="e">
        <f t="shared" si="0"/>
        <v>#VALUE!</v>
      </c>
      <c r="E10" s="26" t="e">
        <f t="shared" si="1"/>
        <v>#VALUE!</v>
      </c>
      <c r="F10" s="2" t="s">
        <v>62</v>
      </c>
    </row>
    <row r="11" spans="2:10" x14ac:dyDescent="0.3">
      <c r="B11" s="12" t="s">
        <v>63</v>
      </c>
      <c r="C11" s="25" t="s">
        <v>64</v>
      </c>
      <c r="D11" s="26">
        <f t="shared" si="0"/>
        <v>1</v>
      </c>
      <c r="E11" s="26" t="e">
        <f t="shared" si="1"/>
        <v>#VALUE!</v>
      </c>
      <c r="F11" s="2" t="s">
        <v>65</v>
      </c>
    </row>
    <row r="12" spans="2:10" x14ac:dyDescent="0.3">
      <c r="B12" s="3"/>
      <c r="C12" s="27" t="s">
        <v>61</v>
      </c>
      <c r="D12" s="26">
        <f t="shared" si="0"/>
        <v>1</v>
      </c>
      <c r="E12" s="26">
        <f t="shared" si="1"/>
        <v>1</v>
      </c>
      <c r="F12" s="2" t="s">
        <v>66</v>
      </c>
    </row>
    <row r="13" spans="2:10" x14ac:dyDescent="0.3">
      <c r="B13" s="3" t="s">
        <v>67</v>
      </c>
      <c r="C13" s="27" t="s">
        <v>68</v>
      </c>
      <c r="D13" s="26">
        <f t="shared" si="0"/>
        <v>7</v>
      </c>
      <c r="E13" s="26">
        <f t="shared" si="1"/>
        <v>7</v>
      </c>
      <c r="F13" s="2" t="s">
        <v>69</v>
      </c>
    </row>
    <row r="14" spans="2:10" x14ac:dyDescent="0.3">
      <c r="B14" s="3" t="s">
        <v>70</v>
      </c>
      <c r="C14" s="27" t="s">
        <v>71</v>
      </c>
      <c r="D14" s="26">
        <f t="shared" si="0"/>
        <v>4</v>
      </c>
      <c r="E14" s="26">
        <f t="shared" si="1"/>
        <v>4</v>
      </c>
      <c r="F14" s="2" t="s">
        <v>72</v>
      </c>
    </row>
    <row r="15" spans="2:10" x14ac:dyDescent="0.3">
      <c r="B15" s="12">
        <v>3</v>
      </c>
      <c r="C15" s="3">
        <v>131111</v>
      </c>
      <c r="D15" s="26">
        <f t="shared" si="0"/>
        <v>2</v>
      </c>
      <c r="E15" s="26">
        <f t="shared" si="1"/>
        <v>2</v>
      </c>
      <c r="F15" s="2" t="s">
        <v>73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E8"/>
  <sheetViews>
    <sheetView workbookViewId="0">
      <selection activeCell="C9" sqref="C9"/>
    </sheetView>
  </sheetViews>
  <sheetFormatPr defaultRowHeight="14.4" x14ac:dyDescent="0.3"/>
  <cols>
    <col min="2" max="2" width="19.33203125" customWidth="1"/>
    <col min="3" max="3" width="15.77734375" bestFit="1" customWidth="1"/>
    <col min="4" max="4" width="29.5546875" bestFit="1" customWidth="1"/>
    <col min="5" max="5" width="25.21875" customWidth="1"/>
    <col min="6" max="6" width="26.5546875" bestFit="1" customWidth="1"/>
    <col min="7" max="7" width="10.44140625" bestFit="1" customWidth="1"/>
  </cols>
  <sheetData>
    <row r="2" spans="2:5" ht="21" x14ac:dyDescent="0.4">
      <c r="B2" s="7" t="s">
        <v>162</v>
      </c>
      <c r="C2" s="7"/>
      <c r="D2" s="1"/>
    </row>
    <row r="3" spans="2:5" x14ac:dyDescent="0.3">
      <c r="D3" s="2"/>
    </row>
    <row r="4" spans="2:5" ht="15.6" x14ac:dyDescent="0.3">
      <c r="B4" s="86" t="s">
        <v>163</v>
      </c>
      <c r="C4" s="86" t="s">
        <v>164</v>
      </c>
      <c r="D4" s="86" t="s">
        <v>165</v>
      </c>
      <c r="E4" s="86" t="s">
        <v>166</v>
      </c>
    </row>
    <row r="5" spans="2:5" x14ac:dyDescent="0.3">
      <c r="B5" s="3" t="s">
        <v>167</v>
      </c>
      <c r="C5" s="52" t="str">
        <f>SUBSTITUTE(B5,"у","о")</f>
        <v>Стол</v>
      </c>
      <c r="D5" s="53" t="s">
        <v>168</v>
      </c>
      <c r="E5" s="27" t="s">
        <v>169</v>
      </c>
    </row>
    <row r="6" spans="2:5" x14ac:dyDescent="0.3">
      <c r="B6" s="3" t="s">
        <v>170</v>
      </c>
      <c r="C6" s="52" t="str">
        <f>SUBSTITUTE(B6,"о","и",2)</f>
        <v>Помидор</v>
      </c>
      <c r="D6" s="53" t="s">
        <v>171</v>
      </c>
      <c r="E6" s="27" t="s">
        <v>172</v>
      </c>
    </row>
    <row r="7" spans="2:5" x14ac:dyDescent="0.3">
      <c r="B7" s="3" t="s">
        <v>173</v>
      </c>
      <c r="C7" s="52" t="str">
        <f>SUBSTITUTE(B7,"кот","тигр")</f>
        <v>Кот, тигр</v>
      </c>
      <c r="D7" s="53" t="s">
        <v>174</v>
      </c>
      <c r="E7" s="27" t="s">
        <v>175</v>
      </c>
    </row>
    <row r="8" spans="2:5" x14ac:dyDescent="0.3">
      <c r="B8" s="3" t="s">
        <v>176</v>
      </c>
      <c r="C8" s="52" t="str">
        <f>SUBSTITUTE(B8,"#"," ")</f>
        <v xml:space="preserve">   1825  </v>
      </c>
      <c r="D8" s="53" t="s">
        <v>177</v>
      </c>
      <c r="E8" s="27" t="s">
        <v>178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16"/>
  <sheetViews>
    <sheetView workbookViewId="0">
      <selection activeCell="D5" sqref="D5"/>
    </sheetView>
  </sheetViews>
  <sheetFormatPr defaultRowHeight="14.4" x14ac:dyDescent="0.3"/>
  <cols>
    <col min="2" max="2" width="20" customWidth="1"/>
    <col min="3" max="3" width="20.33203125" customWidth="1"/>
    <col min="4" max="4" width="8" customWidth="1"/>
    <col min="6" max="6" width="11.21875" bestFit="1" customWidth="1"/>
    <col min="8" max="8" width="11.21875" bestFit="1" customWidth="1"/>
  </cols>
  <sheetData>
    <row r="2" spans="2:8" ht="21" customHeight="1" x14ac:dyDescent="0.4">
      <c r="B2" s="1" t="s">
        <v>324</v>
      </c>
    </row>
    <row r="4" spans="2:8" ht="15.6" x14ac:dyDescent="0.3">
      <c r="B4" s="86" t="s">
        <v>325</v>
      </c>
      <c r="C4" s="86" t="s">
        <v>326</v>
      </c>
    </row>
    <row r="5" spans="2:8" x14ac:dyDescent="0.3">
      <c r="B5" s="39" t="s">
        <v>327</v>
      </c>
      <c r="C5" s="76" t="str">
        <f>REPLACE(B5,5,4,"2026")</f>
        <v>ФГС-2026-01</v>
      </c>
      <c r="F5" s="77"/>
      <c r="H5" s="10"/>
    </row>
    <row r="6" spans="2:8" x14ac:dyDescent="0.3">
      <c r="B6" s="39" t="s">
        <v>328</v>
      </c>
      <c r="C6" s="76" t="str">
        <f t="shared" ref="C6:C16" si="0">REPLACE(B6,5,4,"2026")</f>
        <v>ФГС-2026-02</v>
      </c>
      <c r="H6" s="10"/>
    </row>
    <row r="7" spans="2:8" x14ac:dyDescent="0.3">
      <c r="B7" s="39" t="s">
        <v>329</v>
      </c>
      <c r="C7" s="76" t="str">
        <f t="shared" si="0"/>
        <v>ФГС-2026-03</v>
      </c>
      <c r="H7" s="10"/>
    </row>
    <row r="8" spans="2:8" x14ac:dyDescent="0.3">
      <c r="B8" s="39" t="s">
        <v>330</v>
      </c>
      <c r="C8" s="76" t="str">
        <f t="shared" si="0"/>
        <v>ААБ-2026-001</v>
      </c>
      <c r="H8" s="10"/>
    </row>
    <row r="9" spans="2:8" x14ac:dyDescent="0.3">
      <c r="B9" s="39" t="s">
        <v>331</v>
      </c>
      <c r="C9" s="76" t="str">
        <f t="shared" si="0"/>
        <v>ААБ-2026-002</v>
      </c>
      <c r="H9" s="10"/>
    </row>
    <row r="10" spans="2:8" x14ac:dyDescent="0.3">
      <c r="B10" s="39" t="s">
        <v>332</v>
      </c>
      <c r="C10" s="76" t="str">
        <f t="shared" si="0"/>
        <v>ААБ-2026-003</v>
      </c>
      <c r="H10" s="10"/>
    </row>
    <row r="11" spans="2:8" x14ac:dyDescent="0.3">
      <c r="B11" s="39" t="s">
        <v>333</v>
      </c>
      <c r="C11" s="76" t="str">
        <f t="shared" si="0"/>
        <v>ААБ-2026-004</v>
      </c>
      <c r="H11" s="10"/>
    </row>
    <row r="12" spans="2:8" x14ac:dyDescent="0.3">
      <c r="B12" s="39" t="s">
        <v>334</v>
      </c>
      <c r="C12" s="76" t="str">
        <f t="shared" si="0"/>
        <v>НАР-2026-875</v>
      </c>
      <c r="H12" s="10"/>
    </row>
    <row r="13" spans="2:8" x14ac:dyDescent="0.3">
      <c r="B13" s="39" t="s">
        <v>335</v>
      </c>
      <c r="C13" s="76" t="str">
        <f t="shared" si="0"/>
        <v>НАР-2026-876</v>
      </c>
      <c r="H13" s="10"/>
    </row>
    <row r="14" spans="2:8" x14ac:dyDescent="0.3">
      <c r="B14" s="39" t="s">
        <v>336</v>
      </c>
      <c r="C14" s="76" t="str">
        <f t="shared" si="0"/>
        <v>НАР-2026-877</v>
      </c>
    </row>
    <row r="15" spans="2:8" x14ac:dyDescent="0.3">
      <c r="B15" s="39" t="s">
        <v>337</v>
      </c>
      <c r="C15" s="76" t="str">
        <f t="shared" si="0"/>
        <v>ПУИ-2026-003</v>
      </c>
    </row>
    <row r="16" spans="2:8" x14ac:dyDescent="0.3">
      <c r="B16" s="39" t="s">
        <v>338</v>
      </c>
      <c r="C16" s="76" t="str">
        <f t="shared" si="0"/>
        <v>ПУИ-2026-004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E15"/>
  <sheetViews>
    <sheetView workbookViewId="0">
      <selection activeCell="C16" sqref="C16"/>
    </sheetView>
  </sheetViews>
  <sheetFormatPr defaultRowHeight="14.4" x14ac:dyDescent="0.3"/>
  <cols>
    <col min="2" max="2" width="19.33203125" customWidth="1"/>
    <col min="3" max="3" width="12.6640625" customWidth="1"/>
    <col min="4" max="4" width="19.6640625" bestFit="1" customWidth="1"/>
    <col min="5" max="5" width="5.44140625" customWidth="1"/>
    <col min="6" max="6" width="26.5546875" bestFit="1" customWidth="1"/>
    <col min="7" max="7" width="10.44140625" bestFit="1" customWidth="1"/>
  </cols>
  <sheetData>
    <row r="2" spans="2:5" ht="21" x14ac:dyDescent="0.4">
      <c r="B2" s="7" t="s">
        <v>179</v>
      </c>
      <c r="C2" s="7" t="s">
        <v>180</v>
      </c>
      <c r="D2" s="1"/>
    </row>
    <row r="3" spans="2:5" x14ac:dyDescent="0.3">
      <c r="D3" s="2"/>
    </row>
    <row r="4" spans="2:5" ht="15.6" x14ac:dyDescent="0.3">
      <c r="B4" s="86" t="s">
        <v>43</v>
      </c>
      <c r="C4" s="86" t="s">
        <v>5</v>
      </c>
      <c r="D4" s="86" t="s">
        <v>165</v>
      </c>
    </row>
    <row r="5" spans="2:5" x14ac:dyDescent="0.3">
      <c r="B5" s="3" t="s">
        <v>181</v>
      </c>
      <c r="C5" s="52" t="str">
        <f>LEFT(B5)</f>
        <v>А</v>
      </c>
      <c r="D5" s="53" t="s">
        <v>182</v>
      </c>
      <c r="E5" s="2"/>
    </row>
    <row r="6" spans="2:5" x14ac:dyDescent="0.3">
      <c r="B6" s="3" t="s">
        <v>181</v>
      </c>
      <c r="C6" s="52" t="str">
        <f>RIGHT(B6)</f>
        <v>В</v>
      </c>
      <c r="D6" s="53" t="s">
        <v>183</v>
      </c>
      <c r="E6" s="2"/>
    </row>
    <row r="7" spans="2:5" x14ac:dyDescent="0.3">
      <c r="E7" s="2"/>
    </row>
    <row r="8" spans="2:5" x14ac:dyDescent="0.3">
      <c r="B8" s="3" t="s">
        <v>184</v>
      </c>
      <c r="C8" s="52" t="str">
        <f>LEFT(B8,4)</f>
        <v>Мама</v>
      </c>
      <c r="D8" s="53" t="s">
        <v>185</v>
      </c>
      <c r="E8" s="2"/>
    </row>
    <row r="9" spans="2:5" x14ac:dyDescent="0.3">
      <c r="B9" s="3" t="s">
        <v>184</v>
      </c>
      <c r="C9" s="52" t="str">
        <f>RIGHT(B9,4)</f>
        <v>раму</v>
      </c>
      <c r="D9" s="53" t="s">
        <v>186</v>
      </c>
      <c r="E9" s="2"/>
    </row>
    <row r="10" spans="2:5" x14ac:dyDescent="0.3">
      <c r="E10" s="2"/>
    </row>
    <row r="11" spans="2:5" x14ac:dyDescent="0.3">
      <c r="B11" s="12" t="s">
        <v>187</v>
      </c>
      <c r="C11" s="52" t="str">
        <f>LEFT(B11,3)</f>
        <v>909</v>
      </c>
      <c r="D11" s="53" t="s">
        <v>188</v>
      </c>
      <c r="E11" s="2"/>
    </row>
    <row r="12" spans="2:5" x14ac:dyDescent="0.3">
      <c r="B12" s="12" t="s">
        <v>187</v>
      </c>
      <c r="C12" s="52" t="str">
        <f>RIGHT(B12,5)</f>
        <v>66-55</v>
      </c>
      <c r="D12" s="53" t="s">
        <v>189</v>
      </c>
      <c r="E12" s="2"/>
    </row>
    <row r="14" spans="2:5" x14ac:dyDescent="0.3">
      <c r="B14" s="54" t="s">
        <v>190</v>
      </c>
      <c r="C14" s="52" t="str">
        <f>LEFT(B14,4)</f>
        <v>7500</v>
      </c>
      <c r="D14" s="53" t="s">
        <v>191</v>
      </c>
    </row>
    <row r="15" spans="2:5" x14ac:dyDescent="0.3">
      <c r="B15" s="54" t="s">
        <v>190</v>
      </c>
      <c r="C15" s="52" t="str">
        <f>RIGHT(B15,6)</f>
        <v>221155</v>
      </c>
      <c r="D15" s="53" t="s">
        <v>192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E15"/>
  <sheetViews>
    <sheetView workbookViewId="0">
      <selection activeCell="C5" sqref="C5:C15"/>
    </sheetView>
  </sheetViews>
  <sheetFormatPr defaultRowHeight="14.4" x14ac:dyDescent="0.3"/>
  <cols>
    <col min="2" max="2" width="14.44140625" customWidth="1"/>
    <col min="3" max="3" width="21.33203125" customWidth="1"/>
    <col min="4" max="4" width="16.21875" customWidth="1"/>
    <col min="5" max="5" width="26.5546875" bestFit="1" customWidth="1"/>
    <col min="6" max="6" width="10.44140625" bestFit="1" customWidth="1"/>
  </cols>
  <sheetData>
    <row r="2" spans="2:5" ht="21" x14ac:dyDescent="0.4">
      <c r="B2" s="1" t="s">
        <v>193</v>
      </c>
      <c r="E2" s="55"/>
    </row>
    <row r="3" spans="2:5" x14ac:dyDescent="0.3">
      <c r="C3" s="2"/>
    </row>
    <row r="4" spans="2:5" ht="15.6" x14ac:dyDescent="0.3">
      <c r="B4" s="86" t="s">
        <v>44</v>
      </c>
      <c r="C4" s="86" t="s">
        <v>5</v>
      </c>
    </row>
    <row r="5" spans="2:5" x14ac:dyDescent="0.3">
      <c r="B5" s="3" t="s">
        <v>194</v>
      </c>
      <c r="C5" s="26">
        <f>LEN(B5)</f>
        <v>3</v>
      </c>
      <c r="D5" s="2" t="s">
        <v>195</v>
      </c>
    </row>
    <row r="6" spans="2:5" x14ac:dyDescent="0.3">
      <c r="B6" s="3" t="s">
        <v>196</v>
      </c>
      <c r="C6" s="26">
        <f t="shared" ref="C6:C15" si="0">LEN(B6)</f>
        <v>4</v>
      </c>
      <c r="D6" s="2" t="s">
        <v>197</v>
      </c>
    </row>
    <row r="7" spans="2:5" x14ac:dyDescent="0.3">
      <c r="B7" s="3" t="s">
        <v>198</v>
      </c>
      <c r="C7" s="26">
        <f t="shared" si="0"/>
        <v>3</v>
      </c>
      <c r="D7" s="2" t="s">
        <v>199</v>
      </c>
    </row>
    <row r="8" spans="2:5" x14ac:dyDescent="0.3">
      <c r="B8" s="3" t="s">
        <v>200</v>
      </c>
      <c r="C8" s="26">
        <f t="shared" si="0"/>
        <v>11</v>
      </c>
      <c r="D8" s="2" t="s">
        <v>201</v>
      </c>
    </row>
    <row r="9" spans="2:5" x14ac:dyDescent="0.3">
      <c r="B9" s="3"/>
      <c r="C9" s="26">
        <f t="shared" si="0"/>
        <v>0</v>
      </c>
      <c r="D9" s="2" t="s">
        <v>202</v>
      </c>
    </row>
    <row r="10" spans="2:5" x14ac:dyDescent="0.3">
      <c r="B10" s="12">
        <v>1000</v>
      </c>
      <c r="C10" s="26">
        <f t="shared" si="0"/>
        <v>4</v>
      </c>
      <c r="D10" s="2" t="s">
        <v>203</v>
      </c>
    </row>
    <row r="11" spans="2:5" x14ac:dyDescent="0.3">
      <c r="B11" s="56">
        <v>1000</v>
      </c>
      <c r="C11" s="26">
        <f t="shared" si="0"/>
        <v>4</v>
      </c>
      <c r="D11" s="2" t="s">
        <v>204</v>
      </c>
    </row>
    <row r="12" spans="2:5" x14ac:dyDescent="0.3">
      <c r="B12" s="39">
        <v>47112</v>
      </c>
      <c r="C12" s="26">
        <f t="shared" si="0"/>
        <v>5</v>
      </c>
      <c r="D12" s="2" t="s">
        <v>205</v>
      </c>
    </row>
    <row r="13" spans="2:5" x14ac:dyDescent="0.3">
      <c r="B13" s="3">
        <v>106.99</v>
      </c>
      <c r="C13" s="26">
        <f t="shared" si="0"/>
        <v>6</v>
      </c>
      <c r="D13" s="2" t="s">
        <v>206</v>
      </c>
    </row>
    <row r="14" spans="2:5" x14ac:dyDescent="0.3">
      <c r="B14" s="57">
        <v>3.14159265358979</v>
      </c>
      <c r="C14" s="26">
        <f t="shared" si="0"/>
        <v>16</v>
      </c>
      <c r="D14" s="2" t="s">
        <v>207</v>
      </c>
    </row>
    <row r="15" spans="2:5" x14ac:dyDescent="0.3">
      <c r="B15" s="45">
        <v>-1.75</v>
      </c>
      <c r="C15" s="26">
        <f t="shared" si="0"/>
        <v>5</v>
      </c>
      <c r="D15" s="2" t="s">
        <v>208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I15"/>
  <sheetViews>
    <sheetView workbookViewId="0">
      <selection activeCell="E16" sqref="E16"/>
    </sheetView>
  </sheetViews>
  <sheetFormatPr defaultRowHeight="14.4" x14ac:dyDescent="0.3"/>
  <cols>
    <col min="2" max="3" width="12.44140625" customWidth="1"/>
    <col min="4" max="4" width="13.109375" customWidth="1"/>
    <col min="5" max="5" width="29.33203125" customWidth="1"/>
  </cols>
  <sheetData>
    <row r="1" spans="2:9" x14ac:dyDescent="0.3">
      <c r="I1" s="5"/>
    </row>
    <row r="2" spans="2:9" ht="21" x14ac:dyDescent="0.4">
      <c r="B2" s="1" t="s">
        <v>244</v>
      </c>
      <c r="C2" s="8"/>
      <c r="D2" s="7"/>
      <c r="E2" s="43"/>
    </row>
    <row r="3" spans="2:9" x14ac:dyDescent="0.3">
      <c r="D3" s="2"/>
      <c r="E3" s="60" t="s">
        <v>245</v>
      </c>
    </row>
    <row r="4" spans="2:9" ht="15.6" x14ac:dyDescent="0.3">
      <c r="B4" s="86" t="s">
        <v>23</v>
      </c>
      <c r="C4" s="86" t="s">
        <v>24</v>
      </c>
      <c r="D4" s="86" t="s">
        <v>25</v>
      </c>
      <c r="E4" s="91" t="s">
        <v>246</v>
      </c>
    </row>
    <row r="5" spans="2:9" x14ac:dyDescent="0.3">
      <c r="B5" s="3" t="s">
        <v>247</v>
      </c>
      <c r="C5" s="27" t="s">
        <v>248</v>
      </c>
      <c r="D5" s="45" t="s">
        <v>249</v>
      </c>
      <c r="E5" s="26" t="str">
        <f>CONCATENATE(B5,",",C5,",",D5,)</f>
        <v>А,Б,В</v>
      </c>
    </row>
    <row r="6" spans="2:9" x14ac:dyDescent="0.3">
      <c r="B6" s="3">
        <v>1</v>
      </c>
      <c r="C6" s="3">
        <v>2</v>
      </c>
      <c r="D6" s="45">
        <v>3</v>
      </c>
      <c r="E6" s="26" t="str">
        <f t="shared" ref="E6:E8" si="0">CONCATENATE(B6,",",C6,",",D6,)</f>
        <v>1,2,3</v>
      </c>
    </row>
    <row r="7" spans="2:9" x14ac:dyDescent="0.3">
      <c r="B7" s="3" t="s">
        <v>250</v>
      </c>
      <c r="C7" s="27" t="s">
        <v>251</v>
      </c>
      <c r="D7" s="45" t="s">
        <v>252</v>
      </c>
      <c r="E7" s="26" t="str">
        <f t="shared" si="0"/>
        <v>сливы,яблоки,груши</v>
      </c>
    </row>
    <row r="8" spans="2:9" x14ac:dyDescent="0.3">
      <c r="B8" s="3" t="s">
        <v>253</v>
      </c>
      <c r="C8" s="27" t="s">
        <v>254</v>
      </c>
      <c r="D8" s="45" t="s">
        <v>255</v>
      </c>
      <c r="E8" s="26" t="str">
        <f t="shared" si="0"/>
        <v>красный,синий,зеленый</v>
      </c>
    </row>
    <row r="10" spans="2:9" x14ac:dyDescent="0.3">
      <c r="E10" s="60" t="s">
        <v>256</v>
      </c>
    </row>
    <row r="11" spans="2:9" x14ac:dyDescent="0.3">
      <c r="B11" s="3" t="s">
        <v>253</v>
      </c>
      <c r="C11" s="27" t="s">
        <v>254</v>
      </c>
      <c r="D11" s="45"/>
      <c r="E11" s="26" t="str">
        <f>CONCATENATE(B11," и ",C11)</f>
        <v>красный и синий</v>
      </c>
    </row>
    <row r="13" spans="2:9" x14ac:dyDescent="0.3">
      <c r="E13" s="60" t="s">
        <v>257</v>
      </c>
    </row>
    <row r="14" spans="2:9" ht="15.6" x14ac:dyDescent="0.3">
      <c r="B14" s="86" t="s">
        <v>258</v>
      </c>
      <c r="C14" s="86" t="s">
        <v>259</v>
      </c>
      <c r="D14" s="86" t="s">
        <v>260</v>
      </c>
      <c r="E14" s="91" t="s">
        <v>246</v>
      </c>
    </row>
    <row r="15" spans="2:9" x14ac:dyDescent="0.3">
      <c r="B15" s="3" t="s">
        <v>261</v>
      </c>
      <c r="C15" s="27" t="s">
        <v>262</v>
      </c>
      <c r="D15" s="45" t="s">
        <v>263</v>
      </c>
      <c r="E15" s="26" t="str">
        <f>CONCATENATE(D15,",",B15," ",C15)</f>
        <v>Уважаемый,Петр Петрович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G13"/>
  <sheetViews>
    <sheetView workbookViewId="0">
      <selection activeCell="E5" sqref="E5:E13"/>
    </sheetView>
  </sheetViews>
  <sheetFormatPr defaultRowHeight="14.4" x14ac:dyDescent="0.3"/>
  <cols>
    <col min="2" max="2" width="18.88671875" bestFit="1" customWidth="1"/>
    <col min="3" max="3" width="16.44140625" bestFit="1" customWidth="1"/>
    <col min="4" max="4" width="15.33203125" bestFit="1" customWidth="1"/>
    <col min="5" max="5" width="16.77734375" bestFit="1" customWidth="1"/>
    <col min="6" max="6" width="5.44140625" customWidth="1"/>
    <col min="7" max="7" width="19.6640625" bestFit="1" customWidth="1"/>
    <col min="8" max="8" width="10.44140625" bestFit="1" customWidth="1"/>
  </cols>
  <sheetData>
    <row r="2" spans="2:7" ht="21" x14ac:dyDescent="0.4">
      <c r="B2" s="1" t="s">
        <v>380</v>
      </c>
      <c r="C2" s="7" t="s">
        <v>381</v>
      </c>
      <c r="D2" s="43"/>
      <c r="E2" s="43" t="s">
        <v>382</v>
      </c>
    </row>
    <row r="3" spans="2:7" x14ac:dyDescent="0.3">
      <c r="D3" s="2"/>
      <c r="E3" s="2"/>
    </row>
    <row r="4" spans="2:7" ht="15.6" x14ac:dyDescent="0.3">
      <c r="B4" s="86" t="s">
        <v>94</v>
      </c>
      <c r="C4" s="86" t="s">
        <v>380</v>
      </c>
      <c r="D4" s="86" t="s">
        <v>381</v>
      </c>
      <c r="E4" s="91" t="s">
        <v>383</v>
      </c>
    </row>
    <row r="5" spans="2:7" x14ac:dyDescent="0.3">
      <c r="B5" s="3" t="s">
        <v>384</v>
      </c>
      <c r="C5" s="52" t="str">
        <f>LOWER(B5)</f>
        <v>книга</v>
      </c>
      <c r="D5" s="9" t="str">
        <f>PROPER(B5)</f>
        <v>Книга</v>
      </c>
      <c r="E5" s="26" t="str">
        <f>UPPER(B5)</f>
        <v>КНИГА</v>
      </c>
    </row>
    <row r="6" spans="2:7" x14ac:dyDescent="0.3">
      <c r="B6" s="3" t="s">
        <v>385</v>
      </c>
      <c r="C6" s="52" t="str">
        <f t="shared" ref="C6:C13" si="0">LOWER(B6)</f>
        <v>книга</v>
      </c>
      <c r="D6" s="9" t="str">
        <f t="shared" ref="D6:D13" si="1">PROPER(B6)</f>
        <v>Книга</v>
      </c>
      <c r="E6" s="26" t="str">
        <f t="shared" ref="E6:E13" si="2">UPPER(B6)</f>
        <v>КНИГА</v>
      </c>
    </row>
    <row r="7" spans="2:7" x14ac:dyDescent="0.3">
      <c r="B7" s="3" t="s">
        <v>386</v>
      </c>
      <c r="C7" s="52" t="str">
        <f t="shared" si="0"/>
        <v>а.с. пушкин</v>
      </c>
      <c r="D7" s="9" t="str">
        <f t="shared" si="1"/>
        <v>А.С. Пушкин</v>
      </c>
      <c r="E7" s="26" t="str">
        <f t="shared" si="2"/>
        <v>А.С. ПУШКИН</v>
      </c>
    </row>
    <row r="8" spans="2:7" x14ac:dyDescent="0.3">
      <c r="B8" s="3" t="s">
        <v>387</v>
      </c>
      <c r="C8" s="52" t="str">
        <f t="shared" si="0"/>
        <v>яблоки, груши</v>
      </c>
      <c r="D8" s="9" t="str">
        <f t="shared" si="1"/>
        <v>Яблоки, Груши</v>
      </c>
      <c r="E8" s="26" t="str">
        <f t="shared" si="2"/>
        <v>ЯБЛОКИ, ГРУШИ</v>
      </c>
    </row>
    <row r="9" spans="2:7" x14ac:dyDescent="0.3">
      <c r="B9" s="3" t="s">
        <v>388</v>
      </c>
      <c r="C9" s="52" t="str">
        <f t="shared" si="0"/>
        <v>ик-0002536</v>
      </c>
      <c r="D9" s="9" t="str">
        <f t="shared" si="1"/>
        <v>Ик-0002536</v>
      </c>
      <c r="E9" s="26" t="str">
        <f t="shared" si="2"/>
        <v>ИК-0002536</v>
      </c>
    </row>
    <row r="10" spans="2:7" x14ac:dyDescent="0.3">
      <c r="B10" s="3" t="s">
        <v>389</v>
      </c>
      <c r="C10" s="52" t="str">
        <f t="shared" si="0"/>
        <v>ик-0002536-чб</v>
      </c>
      <c r="D10" s="9" t="str">
        <f t="shared" si="1"/>
        <v>Ик-0002536-Чб</v>
      </c>
      <c r="E10" s="26" t="str">
        <f t="shared" si="2"/>
        <v>ИК-0002536-ЧБ</v>
      </c>
      <c r="F10" s="2"/>
    </row>
    <row r="11" spans="2:7" x14ac:dyDescent="0.3">
      <c r="B11" s="3">
        <v>12345</v>
      </c>
      <c r="C11" s="52" t="str">
        <f t="shared" si="0"/>
        <v>12345</v>
      </c>
      <c r="D11" s="9" t="str">
        <f t="shared" si="1"/>
        <v>12345</v>
      </c>
      <c r="E11" s="26" t="str">
        <f t="shared" si="2"/>
        <v>12345</v>
      </c>
      <c r="F11" s="2" t="s">
        <v>390</v>
      </c>
    </row>
    <row r="12" spans="2:7" x14ac:dyDescent="0.3">
      <c r="B12" s="56">
        <v>10000</v>
      </c>
      <c r="C12" s="52" t="str">
        <f t="shared" si="0"/>
        <v>10000</v>
      </c>
      <c r="D12" s="9" t="str">
        <f t="shared" si="1"/>
        <v>10000</v>
      </c>
      <c r="E12" s="26" t="str">
        <f t="shared" si="2"/>
        <v>10000</v>
      </c>
      <c r="F12" s="2" t="s">
        <v>391</v>
      </c>
      <c r="G12" s="2"/>
    </row>
    <row r="13" spans="2:7" x14ac:dyDescent="0.3">
      <c r="B13" s="39">
        <v>47112</v>
      </c>
      <c r="C13" s="52" t="str">
        <f t="shared" si="0"/>
        <v>47112</v>
      </c>
      <c r="D13" s="9" t="str">
        <f t="shared" si="1"/>
        <v>47112</v>
      </c>
      <c r="E13" s="26" t="str">
        <f t="shared" si="2"/>
        <v>47112</v>
      </c>
      <c r="F13" s="2" t="s">
        <v>391</v>
      </c>
      <c r="G13" s="2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5"/>
  <sheetViews>
    <sheetView workbookViewId="0">
      <selection activeCell="G6" sqref="G6"/>
    </sheetView>
  </sheetViews>
  <sheetFormatPr defaultRowHeight="14.4" x14ac:dyDescent="0.3"/>
  <cols>
    <col min="2" max="2" width="11.21875" bestFit="1" customWidth="1"/>
    <col min="3" max="4" width="13.33203125" customWidth="1"/>
    <col min="5" max="5" width="4" customWidth="1"/>
    <col min="6" max="6" width="12" customWidth="1"/>
  </cols>
  <sheetData>
    <row r="1" spans="1:10" x14ac:dyDescent="0.3">
      <c r="J1" s="5"/>
    </row>
    <row r="2" spans="1:10" ht="21" x14ac:dyDescent="0.4">
      <c r="B2" s="1" t="s">
        <v>209</v>
      </c>
      <c r="C2" s="1"/>
      <c r="D2" s="7" t="s">
        <v>210</v>
      </c>
    </row>
    <row r="4" spans="1:10" ht="31.2" x14ac:dyDescent="0.3">
      <c r="B4" s="86" t="s">
        <v>211</v>
      </c>
      <c r="C4" s="92" t="s">
        <v>212</v>
      </c>
      <c r="D4" s="92" t="s">
        <v>213</v>
      </c>
      <c r="G4" s="44" t="s">
        <v>214</v>
      </c>
    </row>
    <row r="5" spans="1:10" x14ac:dyDescent="0.3">
      <c r="B5" s="3" t="s">
        <v>133</v>
      </c>
      <c r="C5" s="58" t="str">
        <f>IF(COUNT(B5)&gt;0,"да","")</f>
        <v/>
      </c>
      <c r="D5" s="3" t="str">
        <f>IF(COUNTA(B5)&gt;0,"да","")</f>
        <v>да</v>
      </c>
      <c r="E5" s="2" t="s">
        <v>215</v>
      </c>
      <c r="G5" s="26">
        <f>COUNT(B5:B15,C5:C15)</f>
        <v>6</v>
      </c>
    </row>
    <row r="6" spans="1:10" x14ac:dyDescent="0.3">
      <c r="B6" s="3">
        <v>18</v>
      </c>
      <c r="C6" s="58" t="str">
        <f t="shared" ref="C6:C15" si="0">IF(COUNT(B6)&gt;0,"да","")</f>
        <v>да</v>
      </c>
      <c r="D6" s="3" t="str">
        <f t="shared" ref="D6:D15" si="1">IF(COUNTA(B6)&gt;0,"да","")</f>
        <v>да</v>
      </c>
      <c r="E6" s="2" t="s">
        <v>216</v>
      </c>
    </row>
    <row r="7" spans="1:10" ht="15.6" x14ac:dyDescent="0.3">
      <c r="A7" s="50"/>
      <c r="B7" s="51">
        <v>0.73</v>
      </c>
      <c r="C7" s="58" t="str">
        <f t="shared" si="0"/>
        <v>да</v>
      </c>
      <c r="D7" s="3" t="str">
        <f t="shared" si="1"/>
        <v>да</v>
      </c>
      <c r="E7" s="2" t="s">
        <v>217</v>
      </c>
      <c r="G7" s="44" t="s">
        <v>210</v>
      </c>
    </row>
    <row r="8" spans="1:10" ht="15.6" x14ac:dyDescent="0.3">
      <c r="A8" s="50"/>
      <c r="B8" s="3">
        <v>4.4000000000000004</v>
      </c>
      <c r="C8" s="58" t="str">
        <f t="shared" si="0"/>
        <v>да</v>
      </c>
      <c r="D8" s="3" t="str">
        <f t="shared" si="1"/>
        <v>да</v>
      </c>
      <c r="E8" s="2" t="s">
        <v>218</v>
      </c>
      <c r="G8" s="26">
        <f>COUNTA(B5:B15,D5:D15)</f>
        <v>21</v>
      </c>
    </row>
    <row r="9" spans="1:10" ht="15.6" x14ac:dyDescent="0.3">
      <c r="A9" s="50"/>
      <c r="B9" s="12">
        <v>-1</v>
      </c>
      <c r="C9" s="58" t="str">
        <f t="shared" si="0"/>
        <v>да</v>
      </c>
      <c r="D9" s="3" t="str">
        <f t="shared" si="1"/>
        <v>да</v>
      </c>
      <c r="E9" s="2" t="s">
        <v>30</v>
      </c>
      <c r="G9" s="2"/>
    </row>
    <row r="10" spans="1:10" ht="15.6" x14ac:dyDescent="0.3">
      <c r="A10" s="50"/>
      <c r="B10" s="3" t="s">
        <v>219</v>
      </c>
      <c r="C10" s="58" t="str">
        <f t="shared" si="0"/>
        <v/>
      </c>
      <c r="D10" s="3" t="str">
        <f t="shared" si="1"/>
        <v>да</v>
      </c>
      <c r="E10" s="2" t="s">
        <v>220</v>
      </c>
      <c r="G10" s="2"/>
    </row>
    <row r="11" spans="1:10" ht="15.6" x14ac:dyDescent="0.3">
      <c r="A11" s="50"/>
      <c r="B11" s="12"/>
      <c r="C11" s="58" t="str">
        <f t="shared" si="0"/>
        <v/>
      </c>
      <c r="D11" s="3" t="str">
        <f t="shared" si="1"/>
        <v/>
      </c>
      <c r="E11" s="2" t="s">
        <v>221</v>
      </c>
      <c r="I11" s="2"/>
    </row>
    <row r="12" spans="1:10" ht="15.6" x14ac:dyDescent="0.3">
      <c r="A12" s="50"/>
      <c r="B12" s="39">
        <v>46798</v>
      </c>
      <c r="C12" s="58" t="str">
        <f t="shared" si="0"/>
        <v>да</v>
      </c>
      <c r="D12" s="3" t="str">
        <f t="shared" si="1"/>
        <v>да</v>
      </c>
      <c r="E12" s="2" t="s">
        <v>222</v>
      </c>
      <c r="G12" s="2"/>
    </row>
    <row r="13" spans="1:10" ht="15.6" x14ac:dyDescent="0.3">
      <c r="A13" s="50"/>
      <c r="B13" s="59">
        <v>0.76388888888888884</v>
      </c>
      <c r="C13" s="58" t="str">
        <f t="shared" si="0"/>
        <v>да</v>
      </c>
      <c r="D13" s="3" t="str">
        <f t="shared" si="1"/>
        <v>да</v>
      </c>
      <c r="E13" s="2" t="s">
        <v>223</v>
      </c>
      <c r="G13" s="2"/>
    </row>
    <row r="14" spans="1:10" x14ac:dyDescent="0.3">
      <c r="B14" s="3" t="str">
        <f>"0024"</f>
        <v>0024</v>
      </c>
      <c r="C14" s="58" t="str">
        <f t="shared" si="0"/>
        <v/>
      </c>
      <c r="D14" s="3" t="str">
        <f t="shared" si="1"/>
        <v>да</v>
      </c>
      <c r="E14" s="2" t="s">
        <v>224</v>
      </c>
    </row>
    <row r="15" spans="1:10" x14ac:dyDescent="0.3">
      <c r="B15" s="3" t="e">
        <f>VLOOKUP(B14,B5:B6,1,0)</f>
        <v>#N/A</v>
      </c>
      <c r="C15" s="58" t="str">
        <f t="shared" si="0"/>
        <v/>
      </c>
      <c r="D15" s="3" t="str">
        <f t="shared" si="1"/>
        <v>да</v>
      </c>
      <c r="E15" s="2" t="s">
        <v>225</v>
      </c>
    </row>
  </sheetData>
  <conditionalFormatting sqref="C5:D15">
    <cfRule type="cellIs" dxfId="1" priority="1" operator="equal">
      <formula>""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E15"/>
  <sheetViews>
    <sheetView workbookViewId="0">
      <selection activeCell="D7" sqref="D7"/>
    </sheetView>
  </sheetViews>
  <sheetFormatPr defaultRowHeight="14.4" x14ac:dyDescent="0.3"/>
  <cols>
    <col min="2" max="2" width="14" customWidth="1"/>
    <col min="3" max="3" width="9.33203125" customWidth="1"/>
    <col min="4" max="4" width="17.44140625" customWidth="1"/>
  </cols>
  <sheetData>
    <row r="2" spans="1:5" ht="21" x14ac:dyDescent="0.4">
      <c r="B2" s="1" t="s">
        <v>269</v>
      </c>
      <c r="D2" s="43"/>
    </row>
    <row r="3" spans="1:5" x14ac:dyDescent="0.3">
      <c r="D3" s="2"/>
    </row>
    <row r="4" spans="1:5" ht="15.6" x14ac:dyDescent="0.3">
      <c r="B4" s="86" t="s">
        <v>211</v>
      </c>
      <c r="D4" s="100" t="s">
        <v>270</v>
      </c>
    </row>
    <row r="5" spans="1:5" x14ac:dyDescent="0.3">
      <c r="B5" s="3" t="s">
        <v>271</v>
      </c>
      <c r="D5" s="101"/>
      <c r="E5" s="2"/>
    </row>
    <row r="6" spans="1:5" x14ac:dyDescent="0.3">
      <c r="B6" s="3" t="s">
        <v>272</v>
      </c>
      <c r="D6" s="26">
        <f>COUNTBLANK(B5:B15)</f>
        <v>3</v>
      </c>
      <c r="E6" s="2"/>
    </row>
    <row r="7" spans="1:5" ht="15.6" x14ac:dyDescent="0.3">
      <c r="A7" s="50"/>
      <c r="B7" s="3">
        <v>100</v>
      </c>
      <c r="E7" s="2"/>
    </row>
    <row r="8" spans="1:5" ht="15.6" x14ac:dyDescent="0.3">
      <c r="A8" s="61">
        <v>1</v>
      </c>
      <c r="B8" s="51"/>
      <c r="C8" s="2" t="s">
        <v>221</v>
      </c>
    </row>
    <row r="9" spans="1:5" ht="15.6" x14ac:dyDescent="0.3">
      <c r="A9" s="61"/>
      <c r="B9" s="62">
        <v>0.3</v>
      </c>
      <c r="C9" s="2"/>
    </row>
    <row r="10" spans="1:5" ht="15.6" x14ac:dyDescent="0.3">
      <c r="A10" s="61">
        <v>2</v>
      </c>
      <c r="B10" s="39"/>
      <c r="C10" s="2" t="s">
        <v>221</v>
      </c>
    </row>
    <row r="11" spans="1:5" ht="15.6" x14ac:dyDescent="0.3">
      <c r="A11" s="61"/>
      <c r="B11" s="3">
        <v>0.5</v>
      </c>
      <c r="C11" s="2"/>
    </row>
    <row r="12" spans="1:5" ht="15.6" x14ac:dyDescent="0.3">
      <c r="A12" s="61"/>
      <c r="B12" s="39" t="s">
        <v>273</v>
      </c>
      <c r="C12" s="2" t="s">
        <v>274</v>
      </c>
      <c r="E12" s="2"/>
    </row>
    <row r="13" spans="1:5" ht="15.6" x14ac:dyDescent="0.3">
      <c r="A13" s="61">
        <v>3</v>
      </c>
      <c r="B13" s="42" t="str">
        <f>""</f>
        <v/>
      </c>
      <c r="C13" s="2" t="s">
        <v>275</v>
      </c>
      <c r="E13" s="2"/>
    </row>
    <row r="14" spans="1:5" x14ac:dyDescent="0.3">
      <c r="A14" s="63"/>
      <c r="B14" s="39">
        <v>47044</v>
      </c>
    </row>
    <row r="15" spans="1:5" x14ac:dyDescent="0.3">
      <c r="A15" s="63"/>
      <c r="B15" s="3" t="e">
        <f>VLOOKUP(B11,B6:B8,1,0)</f>
        <v>#N/A</v>
      </c>
    </row>
  </sheetData>
  <mergeCells count="1">
    <mergeCell ref="D4:D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14"/>
  <sheetViews>
    <sheetView workbookViewId="0">
      <selection activeCell="E5" sqref="E5:E14"/>
    </sheetView>
  </sheetViews>
  <sheetFormatPr defaultRowHeight="14.4" x14ac:dyDescent="0.3"/>
  <cols>
    <col min="2" max="2" width="14" customWidth="1"/>
    <col min="3" max="5" width="13.77734375" customWidth="1"/>
    <col min="6" max="6" width="11.21875" bestFit="1" customWidth="1"/>
    <col min="8" max="8" width="11.21875" bestFit="1" customWidth="1"/>
  </cols>
  <sheetData>
    <row r="1" spans="2:10" x14ac:dyDescent="0.3">
      <c r="J1" s="5"/>
    </row>
    <row r="2" spans="2:10" ht="21" x14ac:dyDescent="0.4">
      <c r="B2" s="1" t="s">
        <v>392</v>
      </c>
      <c r="C2" s="8" t="s">
        <v>393</v>
      </c>
      <c r="D2" s="43" t="s">
        <v>394</v>
      </c>
    </row>
    <row r="3" spans="2:10" x14ac:dyDescent="0.3">
      <c r="C3" s="2"/>
      <c r="D3" s="2"/>
      <c r="E3" s="2"/>
    </row>
    <row r="4" spans="2:10" ht="15.6" x14ac:dyDescent="0.3">
      <c r="B4" s="86" t="s">
        <v>211</v>
      </c>
      <c r="C4" s="86" t="s">
        <v>392</v>
      </c>
      <c r="D4" s="86" t="s">
        <v>393</v>
      </c>
      <c r="E4" s="86" t="s">
        <v>394</v>
      </c>
    </row>
    <row r="5" spans="2:10" x14ac:dyDescent="0.3">
      <c r="B5" s="39" t="s">
        <v>271</v>
      </c>
      <c r="C5" s="26" t="b">
        <f>ISBLANK(B5)</f>
        <v>0</v>
      </c>
      <c r="D5" s="26" t="b">
        <f>ISTEXT(B5)</f>
        <v>1</v>
      </c>
      <c r="E5" s="26" t="b">
        <f>ISNUMBER(B5)</f>
        <v>0</v>
      </c>
      <c r="F5" s="2" t="s">
        <v>395</v>
      </c>
      <c r="H5" s="10"/>
    </row>
    <row r="6" spans="2:10" x14ac:dyDescent="0.3">
      <c r="B6" s="39"/>
      <c r="C6" s="26" t="b">
        <f t="shared" ref="C6:C14" si="0">ISBLANK(B6)</f>
        <v>1</v>
      </c>
      <c r="D6" s="26" t="b">
        <f t="shared" ref="D6:D14" si="1">ISTEXT(B6)</f>
        <v>0</v>
      </c>
      <c r="E6" s="26" t="b">
        <f t="shared" ref="E6:E14" si="2">ISNUMBER(B6)</f>
        <v>0</v>
      </c>
      <c r="F6" s="2" t="s">
        <v>396</v>
      </c>
      <c r="H6" s="10"/>
    </row>
    <row r="7" spans="2:10" x14ac:dyDescent="0.3">
      <c r="B7" s="39" t="s">
        <v>273</v>
      </c>
      <c r="C7" s="26" t="b">
        <f t="shared" si="0"/>
        <v>0</v>
      </c>
      <c r="D7" s="26" t="b">
        <f t="shared" si="1"/>
        <v>1</v>
      </c>
      <c r="E7" s="26" t="b">
        <f t="shared" si="2"/>
        <v>0</v>
      </c>
      <c r="F7" s="2" t="s">
        <v>397</v>
      </c>
      <c r="H7" s="10"/>
    </row>
    <row r="8" spans="2:10" x14ac:dyDescent="0.3">
      <c r="B8" s="84" t="str">
        <f>IF($C$5=FALSE,"",1)</f>
        <v/>
      </c>
      <c r="C8" s="26" t="b">
        <f t="shared" si="0"/>
        <v>0</v>
      </c>
      <c r="D8" s="26" t="b">
        <f t="shared" si="1"/>
        <v>1</v>
      </c>
      <c r="E8" s="26" t="b">
        <f t="shared" si="2"/>
        <v>0</v>
      </c>
      <c r="F8" s="2" t="s">
        <v>398</v>
      </c>
      <c r="H8" s="10"/>
    </row>
    <row r="9" spans="2:10" x14ac:dyDescent="0.3">
      <c r="B9" s="84">
        <v>100</v>
      </c>
      <c r="C9" s="26" t="b">
        <f t="shared" si="0"/>
        <v>0</v>
      </c>
      <c r="D9" s="26" t="b">
        <f t="shared" si="1"/>
        <v>0</v>
      </c>
      <c r="E9" s="26" t="b">
        <f t="shared" si="2"/>
        <v>1</v>
      </c>
      <c r="F9" s="2" t="s">
        <v>399</v>
      </c>
      <c r="H9" s="10"/>
    </row>
    <row r="10" spans="2:10" x14ac:dyDescent="0.3">
      <c r="B10" s="78" t="s">
        <v>400</v>
      </c>
      <c r="C10" s="26" t="b">
        <f t="shared" si="0"/>
        <v>0</v>
      </c>
      <c r="D10" s="26" t="b">
        <f t="shared" si="1"/>
        <v>1</v>
      </c>
      <c r="E10" s="26" t="b">
        <f t="shared" si="2"/>
        <v>0</v>
      </c>
      <c r="F10" s="2" t="s">
        <v>401</v>
      </c>
      <c r="H10" s="10"/>
    </row>
    <row r="11" spans="2:10" x14ac:dyDescent="0.3">
      <c r="B11" s="39">
        <v>45657</v>
      </c>
      <c r="C11" s="26" t="b">
        <f t="shared" si="0"/>
        <v>0</v>
      </c>
      <c r="D11" s="26" t="b">
        <f t="shared" si="1"/>
        <v>0</v>
      </c>
      <c r="E11" s="26" t="b">
        <f t="shared" si="2"/>
        <v>1</v>
      </c>
      <c r="F11" s="2" t="s">
        <v>402</v>
      </c>
      <c r="H11" s="10"/>
    </row>
    <row r="12" spans="2:10" x14ac:dyDescent="0.3">
      <c r="B12" s="59">
        <v>0.39604166666666668</v>
      </c>
      <c r="C12" s="26" t="b">
        <f t="shared" si="0"/>
        <v>0</v>
      </c>
      <c r="D12" s="26" t="b">
        <f t="shared" si="1"/>
        <v>0</v>
      </c>
      <c r="E12" s="26" t="b">
        <f t="shared" si="2"/>
        <v>1</v>
      </c>
      <c r="F12" s="2" t="s">
        <v>403</v>
      </c>
      <c r="H12" s="10"/>
    </row>
    <row r="13" spans="2:10" x14ac:dyDescent="0.3">
      <c r="B13" s="39" t="e">
        <f>VLOOKUP("утюг",$B$5:$B$8,1,0)</f>
        <v>#N/A</v>
      </c>
      <c r="C13" s="26" t="b">
        <f t="shared" si="0"/>
        <v>0</v>
      </c>
      <c r="D13" s="26" t="b">
        <f t="shared" si="1"/>
        <v>0</v>
      </c>
      <c r="E13" s="26" t="b">
        <f t="shared" si="2"/>
        <v>0</v>
      </c>
      <c r="F13" s="2" t="s">
        <v>404</v>
      </c>
      <c r="H13" s="10"/>
    </row>
    <row r="14" spans="2:10" x14ac:dyDescent="0.3">
      <c r="B14" s="39" t="e">
        <f>6/0</f>
        <v>#DIV/0!</v>
      </c>
      <c r="C14" s="26" t="b">
        <f t="shared" si="0"/>
        <v>0</v>
      </c>
      <c r="D14" s="26" t="b">
        <f t="shared" si="1"/>
        <v>0</v>
      </c>
      <c r="E14" s="26" t="b">
        <f t="shared" si="2"/>
        <v>0</v>
      </c>
      <c r="F14" s="2" t="s">
        <v>404</v>
      </c>
    </row>
  </sheetData>
  <conditionalFormatting sqref="C5:E14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5"/>
  <sheetViews>
    <sheetView workbookViewId="0">
      <selection activeCell="F13" sqref="F13:F15"/>
    </sheetView>
  </sheetViews>
  <sheetFormatPr defaultRowHeight="14.4" x14ac:dyDescent="0.3"/>
  <cols>
    <col min="2" max="2" width="11.21875" bestFit="1" customWidth="1"/>
    <col min="3" max="3" width="11.21875" customWidth="1"/>
    <col min="4" max="5" width="6.44140625" customWidth="1"/>
    <col min="6" max="6" width="17.44140625" customWidth="1"/>
  </cols>
  <sheetData>
    <row r="1" spans="1:10" x14ac:dyDescent="0.3">
      <c r="J1" s="5"/>
    </row>
    <row r="2" spans="1:10" ht="21" x14ac:dyDescent="0.4">
      <c r="B2" s="1" t="s">
        <v>264</v>
      </c>
      <c r="C2" s="1"/>
      <c r="F2" s="7" t="s">
        <v>265</v>
      </c>
    </row>
    <row r="3" spans="1:10" x14ac:dyDescent="0.3">
      <c r="F3" s="2"/>
    </row>
    <row r="4" spans="1:10" ht="15.6" x14ac:dyDescent="0.3">
      <c r="B4" s="86" t="s">
        <v>147</v>
      </c>
      <c r="C4" s="86" t="s">
        <v>148</v>
      </c>
      <c r="E4" s="100" t="s">
        <v>266</v>
      </c>
      <c r="F4" s="100" t="s">
        <v>267</v>
      </c>
    </row>
    <row r="5" spans="1:10" x14ac:dyDescent="0.3">
      <c r="B5" s="3" t="s">
        <v>150</v>
      </c>
      <c r="C5" s="3">
        <v>58</v>
      </c>
      <c r="E5" s="101"/>
      <c r="F5" s="101"/>
      <c r="G5" s="2"/>
    </row>
    <row r="6" spans="1:10" x14ac:dyDescent="0.3">
      <c r="B6" s="3" t="s">
        <v>151</v>
      </c>
      <c r="C6" s="3">
        <v>30</v>
      </c>
      <c r="E6" s="3">
        <v>1</v>
      </c>
      <c r="F6" s="26">
        <f>LARGE($C$5:$C$15,E6:E8)</f>
        <v>96</v>
      </c>
      <c r="G6" s="2"/>
    </row>
    <row r="7" spans="1:10" ht="15.6" x14ac:dyDescent="0.3">
      <c r="A7" s="50"/>
      <c r="B7" s="3" t="s">
        <v>152</v>
      </c>
      <c r="C7" s="3">
        <v>37</v>
      </c>
      <c r="E7" s="3">
        <v>2</v>
      </c>
      <c r="F7" s="26">
        <f t="shared" ref="F7:F8" si="0">LARGE($C$5:$C$15,E7:E9)</f>
        <v>89</v>
      </c>
      <c r="G7" s="2"/>
    </row>
    <row r="8" spans="1:10" ht="15.6" x14ac:dyDescent="0.3">
      <c r="A8" s="50"/>
      <c r="B8" s="51" t="s">
        <v>153</v>
      </c>
      <c r="C8" s="3">
        <v>96</v>
      </c>
      <c r="E8" s="3">
        <v>3</v>
      </c>
      <c r="F8" s="26">
        <f t="shared" si="0"/>
        <v>84</v>
      </c>
      <c r="G8" s="2"/>
    </row>
    <row r="9" spans="1:10" ht="15.6" x14ac:dyDescent="0.3">
      <c r="A9" s="50"/>
      <c r="B9" s="39" t="s">
        <v>155</v>
      </c>
      <c r="C9" s="3">
        <v>84</v>
      </c>
      <c r="G9" s="2"/>
    </row>
    <row r="10" spans="1:10" ht="15.6" x14ac:dyDescent="0.3">
      <c r="A10" s="50"/>
      <c r="B10" s="39" t="s">
        <v>156</v>
      </c>
      <c r="C10" s="3">
        <v>89</v>
      </c>
      <c r="G10" s="2"/>
    </row>
    <row r="11" spans="1:10" ht="15.6" x14ac:dyDescent="0.3">
      <c r="A11" s="50"/>
      <c r="B11" s="39" t="s">
        <v>157</v>
      </c>
      <c r="C11" s="3">
        <v>70</v>
      </c>
      <c r="D11" s="2"/>
      <c r="E11" s="100" t="s">
        <v>266</v>
      </c>
      <c r="F11" s="100" t="s">
        <v>268</v>
      </c>
    </row>
    <row r="12" spans="1:10" ht="15.6" x14ac:dyDescent="0.3">
      <c r="A12" s="50"/>
      <c r="B12" s="39" t="s">
        <v>158</v>
      </c>
      <c r="C12" s="3">
        <v>24</v>
      </c>
      <c r="D12" s="2"/>
      <c r="E12" s="101"/>
      <c r="F12" s="101"/>
      <c r="G12" s="2"/>
    </row>
    <row r="13" spans="1:10" ht="15.6" x14ac:dyDescent="0.3">
      <c r="A13" s="50"/>
      <c r="B13" s="42" t="s">
        <v>159</v>
      </c>
      <c r="C13" s="3">
        <v>62</v>
      </c>
      <c r="D13" s="2"/>
      <c r="E13" s="3">
        <v>1</v>
      </c>
      <c r="F13" s="26">
        <f>SMALL($C$5:$C$15,E13:E15)</f>
        <v>24</v>
      </c>
      <c r="G13" s="2"/>
    </row>
    <row r="14" spans="1:10" x14ac:dyDescent="0.3">
      <c r="B14" s="3" t="s">
        <v>160</v>
      </c>
      <c r="C14" s="3">
        <v>78</v>
      </c>
      <c r="D14" s="2"/>
      <c r="E14" s="3">
        <v>2</v>
      </c>
      <c r="F14" s="26">
        <f t="shared" ref="F14:F15" si="1">SMALL($C$5:$C$15,E14:E16)</f>
        <v>30</v>
      </c>
    </row>
    <row r="15" spans="1:10" x14ac:dyDescent="0.3">
      <c r="B15" s="3" t="s">
        <v>161</v>
      </c>
      <c r="C15" s="3">
        <v>72</v>
      </c>
      <c r="E15" s="3">
        <v>3</v>
      </c>
      <c r="F15" s="26">
        <f t="shared" si="1"/>
        <v>37</v>
      </c>
    </row>
  </sheetData>
  <mergeCells count="4">
    <mergeCell ref="E4:E5"/>
    <mergeCell ref="F4:F5"/>
    <mergeCell ref="E11:E12"/>
    <mergeCell ref="F11:F1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J15"/>
  <sheetViews>
    <sheetView workbookViewId="0">
      <selection activeCell="H6" sqref="H6"/>
    </sheetView>
  </sheetViews>
  <sheetFormatPr defaultRowHeight="14.4" x14ac:dyDescent="0.3"/>
  <cols>
    <col min="2" max="2" width="14.5546875" bestFit="1" customWidth="1"/>
    <col min="3" max="3" width="19.5546875" bestFit="1" customWidth="1"/>
    <col min="4" max="4" width="16.88671875" customWidth="1"/>
    <col min="5" max="5" width="15.6640625" customWidth="1"/>
    <col min="7" max="7" width="16.21875" customWidth="1"/>
    <col min="8" max="8" width="18" customWidth="1"/>
  </cols>
  <sheetData>
    <row r="1" spans="2:10" x14ac:dyDescent="0.3">
      <c r="J1" s="5"/>
    </row>
    <row r="2" spans="2:10" ht="21" customHeight="1" x14ac:dyDescent="0.4">
      <c r="B2" s="1" t="s">
        <v>276</v>
      </c>
    </row>
    <row r="3" spans="2:10" x14ac:dyDescent="0.3">
      <c r="B3" s="64">
        <v>1</v>
      </c>
      <c r="C3" s="64">
        <v>2</v>
      </c>
      <c r="D3" s="64">
        <v>3</v>
      </c>
      <c r="E3" s="64">
        <v>4</v>
      </c>
    </row>
    <row r="4" spans="2:10" ht="15.6" x14ac:dyDescent="0.3">
      <c r="B4" s="86" t="s">
        <v>277</v>
      </c>
      <c r="C4" s="86" t="s">
        <v>278</v>
      </c>
      <c r="D4" s="86" t="s">
        <v>279</v>
      </c>
      <c r="E4" s="93" t="s">
        <v>280</v>
      </c>
      <c r="G4" s="44" t="s">
        <v>277</v>
      </c>
      <c r="H4" s="65" t="s">
        <v>280</v>
      </c>
    </row>
    <row r="5" spans="2:10" x14ac:dyDescent="0.3">
      <c r="B5" s="28">
        <v>2683</v>
      </c>
      <c r="C5" s="40" t="s">
        <v>281</v>
      </c>
      <c r="D5" s="66">
        <v>72</v>
      </c>
      <c r="E5" s="67">
        <v>6500</v>
      </c>
      <c r="F5" s="2"/>
      <c r="G5" s="3">
        <v>2378</v>
      </c>
      <c r="H5" s="68">
        <f>VLOOKUP(G5,B5:E15,4,0)</f>
        <v>3000</v>
      </c>
    </row>
    <row r="6" spans="2:10" x14ac:dyDescent="0.3">
      <c r="B6" s="28">
        <v>6483</v>
      </c>
      <c r="C6" s="40" t="s">
        <v>282</v>
      </c>
      <c r="D6" s="66">
        <v>97</v>
      </c>
      <c r="E6" s="67">
        <v>15000</v>
      </c>
      <c r="F6" s="2"/>
      <c r="G6" s="10"/>
    </row>
    <row r="7" spans="2:10" x14ac:dyDescent="0.3">
      <c r="B7" s="28">
        <v>6110</v>
      </c>
      <c r="C7" s="40" t="s">
        <v>283</v>
      </c>
      <c r="D7" s="66">
        <v>61</v>
      </c>
      <c r="E7" s="67">
        <v>500</v>
      </c>
      <c r="F7" s="2"/>
      <c r="G7" s="10"/>
    </row>
    <row r="8" spans="2:10" x14ac:dyDescent="0.3">
      <c r="B8" s="28">
        <v>5711</v>
      </c>
      <c r="C8" s="40" t="s">
        <v>284</v>
      </c>
      <c r="D8" s="66">
        <v>101</v>
      </c>
      <c r="E8" s="67">
        <v>1500</v>
      </c>
      <c r="F8" s="2"/>
      <c r="G8" s="10"/>
    </row>
    <row r="9" spans="2:10" x14ac:dyDescent="0.3">
      <c r="B9" s="28">
        <v>3506</v>
      </c>
      <c r="C9" s="40" t="s">
        <v>285</v>
      </c>
      <c r="D9" s="66">
        <v>70</v>
      </c>
      <c r="E9" s="67">
        <v>8900</v>
      </c>
      <c r="F9" s="2"/>
      <c r="G9" s="10"/>
    </row>
    <row r="10" spans="2:10" x14ac:dyDescent="0.3">
      <c r="B10" s="28">
        <v>9139</v>
      </c>
      <c r="C10" s="40" t="s">
        <v>286</v>
      </c>
      <c r="D10" s="66">
        <v>90</v>
      </c>
      <c r="E10" s="67">
        <v>150</v>
      </c>
      <c r="F10" s="2"/>
      <c r="G10" s="10"/>
    </row>
    <row r="11" spans="2:10" x14ac:dyDescent="0.3">
      <c r="B11" s="28">
        <v>1546</v>
      </c>
      <c r="C11" s="40" t="s">
        <v>287</v>
      </c>
      <c r="D11" s="66">
        <v>73</v>
      </c>
      <c r="E11" s="67">
        <v>30000</v>
      </c>
      <c r="F11" s="2"/>
      <c r="G11" s="10"/>
    </row>
    <row r="12" spans="2:10" x14ac:dyDescent="0.3">
      <c r="B12" s="28">
        <v>5897</v>
      </c>
      <c r="C12" s="40" t="s">
        <v>288</v>
      </c>
      <c r="D12" s="66">
        <v>95</v>
      </c>
      <c r="E12" s="67">
        <v>8000</v>
      </c>
      <c r="F12" s="2"/>
      <c r="G12" s="10"/>
    </row>
    <row r="13" spans="2:10" x14ac:dyDescent="0.3">
      <c r="B13" s="28">
        <v>2378</v>
      </c>
      <c r="C13" s="40" t="s">
        <v>289</v>
      </c>
      <c r="D13" s="66">
        <v>93</v>
      </c>
      <c r="E13" s="67">
        <v>3000</v>
      </c>
      <c r="F13" s="2"/>
      <c r="G13" s="10"/>
    </row>
    <row r="14" spans="2:10" x14ac:dyDescent="0.3">
      <c r="B14" s="28">
        <v>1345</v>
      </c>
      <c r="C14" s="40" t="s">
        <v>290</v>
      </c>
      <c r="D14" s="66">
        <v>71</v>
      </c>
      <c r="E14" s="67">
        <v>2900</v>
      </c>
      <c r="F14" s="2"/>
    </row>
    <row r="15" spans="2:10" x14ac:dyDescent="0.3">
      <c r="B15" s="28">
        <v>9215</v>
      </c>
      <c r="C15" s="40" t="s">
        <v>291</v>
      </c>
      <c r="D15" s="66">
        <v>57</v>
      </c>
      <c r="E15" s="67">
        <v>12000</v>
      </c>
      <c r="F15" s="2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J16"/>
  <sheetViews>
    <sheetView workbookViewId="0">
      <selection activeCell="D5" sqref="D5:D15"/>
    </sheetView>
  </sheetViews>
  <sheetFormatPr defaultRowHeight="14.4" x14ac:dyDescent="0.3"/>
  <cols>
    <col min="2" max="2" width="14.44140625" customWidth="1"/>
    <col min="3" max="3" width="15.5546875" customWidth="1"/>
    <col min="4" max="4" width="17.6640625" customWidth="1"/>
    <col min="5" max="5" width="16.21875" customWidth="1"/>
    <col min="6" max="6" width="26.5546875" bestFit="1" customWidth="1"/>
    <col min="7" max="7" width="10.44140625" bestFit="1" customWidth="1"/>
  </cols>
  <sheetData>
    <row r="1" spans="2:10" x14ac:dyDescent="0.3">
      <c r="F1" s="69"/>
      <c r="J1" s="5"/>
    </row>
    <row r="2" spans="2:10" ht="21" x14ac:dyDescent="0.4">
      <c r="B2" s="1" t="s">
        <v>292</v>
      </c>
    </row>
    <row r="3" spans="2:10" x14ac:dyDescent="0.3">
      <c r="C3" s="2"/>
      <c r="D3" s="2"/>
    </row>
    <row r="4" spans="2:10" ht="15.6" x14ac:dyDescent="0.3">
      <c r="B4" s="86" t="s">
        <v>293</v>
      </c>
      <c r="C4" s="86" t="s">
        <v>294</v>
      </c>
      <c r="D4" s="91" t="s">
        <v>295</v>
      </c>
    </row>
    <row r="5" spans="2:10" x14ac:dyDescent="0.3">
      <c r="B5" s="27">
        <v>7600</v>
      </c>
      <c r="C5" s="3">
        <v>4</v>
      </c>
      <c r="D5" s="52">
        <f>IFERROR(B5/C5,"")</f>
        <v>1900</v>
      </c>
      <c r="E5" s="2"/>
    </row>
    <row r="6" spans="2:10" x14ac:dyDescent="0.3">
      <c r="B6" s="27">
        <v>10300</v>
      </c>
      <c r="C6" s="3">
        <v>0</v>
      </c>
      <c r="D6" s="52" t="str">
        <f t="shared" ref="D6:D15" si="0">IFERROR(B6/C6,"")</f>
        <v/>
      </c>
      <c r="E6" s="2" t="s">
        <v>296</v>
      </c>
    </row>
    <row r="7" spans="2:10" x14ac:dyDescent="0.3">
      <c r="B7" s="27">
        <v>9800</v>
      </c>
      <c r="C7" s="3">
        <v>5</v>
      </c>
      <c r="D7" s="52">
        <f t="shared" si="0"/>
        <v>1960</v>
      </c>
      <c r="E7" s="2"/>
    </row>
    <row r="8" spans="2:10" x14ac:dyDescent="0.3">
      <c r="B8" s="27">
        <v>7300</v>
      </c>
      <c r="C8" s="3">
        <v>10</v>
      </c>
      <c r="D8" s="52">
        <f t="shared" si="0"/>
        <v>730</v>
      </c>
      <c r="E8" s="2"/>
    </row>
    <row r="9" spans="2:10" x14ac:dyDescent="0.3">
      <c r="B9" s="27">
        <v>14300</v>
      </c>
      <c r="C9" s="3">
        <v>6</v>
      </c>
      <c r="D9" s="52">
        <f t="shared" si="0"/>
        <v>2383.3333333333335</v>
      </c>
      <c r="E9" s="2"/>
    </row>
    <row r="10" spans="2:10" x14ac:dyDescent="0.3">
      <c r="B10" s="27">
        <v>9700</v>
      </c>
      <c r="C10" s="3">
        <v>7</v>
      </c>
      <c r="D10" s="52">
        <f t="shared" si="0"/>
        <v>1385.7142857142858</v>
      </c>
      <c r="E10" s="2"/>
    </row>
    <row r="11" spans="2:10" x14ac:dyDescent="0.3">
      <c r="B11" s="27">
        <v>7700</v>
      </c>
      <c r="C11" s="3">
        <v>14</v>
      </c>
      <c r="D11" s="52">
        <f t="shared" si="0"/>
        <v>550</v>
      </c>
      <c r="E11" s="2"/>
    </row>
    <row r="12" spans="2:10" x14ac:dyDescent="0.3">
      <c r="B12" s="27">
        <v>5500</v>
      </c>
      <c r="C12" s="3">
        <v>15</v>
      </c>
      <c r="D12" s="52">
        <f t="shared" si="0"/>
        <v>366.66666666666669</v>
      </c>
      <c r="E12" s="2"/>
    </row>
    <row r="13" spans="2:10" x14ac:dyDescent="0.3">
      <c r="B13" s="27">
        <v>7700</v>
      </c>
      <c r="C13" s="3">
        <v>9</v>
      </c>
      <c r="D13" s="52">
        <f t="shared" si="0"/>
        <v>855.55555555555554</v>
      </c>
      <c r="E13" s="2"/>
    </row>
    <row r="14" spans="2:10" x14ac:dyDescent="0.3">
      <c r="B14" s="27">
        <v>6100</v>
      </c>
      <c r="C14" s="3">
        <v>0</v>
      </c>
      <c r="D14" s="52" t="str">
        <f t="shared" si="0"/>
        <v/>
      </c>
      <c r="E14" s="2" t="s">
        <v>296</v>
      </c>
    </row>
    <row r="15" spans="2:10" x14ac:dyDescent="0.3">
      <c r="B15" s="27">
        <v>12500</v>
      </c>
      <c r="C15" s="3">
        <v>7</v>
      </c>
      <c r="D15" s="52">
        <f t="shared" si="0"/>
        <v>1785.7142857142858</v>
      </c>
      <c r="E15" s="2"/>
    </row>
    <row r="16" spans="2:10" x14ac:dyDescent="0.3">
      <c r="D16" s="70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J15"/>
  <sheetViews>
    <sheetView workbookViewId="0">
      <selection activeCell="F6" sqref="F6"/>
    </sheetView>
  </sheetViews>
  <sheetFormatPr defaultRowHeight="14.4" x14ac:dyDescent="0.3"/>
  <cols>
    <col min="2" max="2" width="19.5546875" bestFit="1" customWidth="1"/>
    <col min="3" max="4" width="12.88671875" customWidth="1"/>
    <col min="5" max="5" width="19.5546875" bestFit="1" customWidth="1"/>
    <col min="6" max="6" width="18" customWidth="1"/>
  </cols>
  <sheetData>
    <row r="1" spans="2:10" x14ac:dyDescent="0.3">
      <c r="J1" s="5"/>
    </row>
    <row r="2" spans="2:10" ht="21" x14ac:dyDescent="0.4">
      <c r="B2" s="1" t="s">
        <v>297</v>
      </c>
      <c r="C2" s="1"/>
    </row>
    <row r="4" spans="2:10" ht="15.6" x14ac:dyDescent="0.3">
      <c r="B4" s="86" t="s">
        <v>278</v>
      </c>
      <c r="E4" s="44" t="s">
        <v>278</v>
      </c>
      <c r="F4" s="65" t="s">
        <v>5</v>
      </c>
    </row>
    <row r="5" spans="2:10" x14ac:dyDescent="0.3">
      <c r="B5" s="40" t="s">
        <v>281</v>
      </c>
      <c r="C5" s="71">
        <v>1</v>
      </c>
      <c r="D5" s="2"/>
      <c r="E5" s="3" t="s">
        <v>285</v>
      </c>
      <c r="F5" s="68">
        <f>MATCH(E5,B5:B15)</f>
        <v>2</v>
      </c>
    </row>
    <row r="6" spans="2:10" x14ac:dyDescent="0.3">
      <c r="B6" s="40" t="s">
        <v>282</v>
      </c>
      <c r="C6" s="71">
        <v>2</v>
      </c>
      <c r="D6" s="2"/>
      <c r="E6" s="10"/>
    </row>
    <row r="7" spans="2:10" x14ac:dyDescent="0.3">
      <c r="B7" s="40" t="s">
        <v>283</v>
      </c>
      <c r="C7" s="71">
        <v>3</v>
      </c>
      <c r="D7" s="2"/>
      <c r="E7" s="10"/>
    </row>
    <row r="8" spans="2:10" x14ac:dyDescent="0.3">
      <c r="B8" s="40" t="s">
        <v>284</v>
      </c>
      <c r="C8" s="71">
        <v>4</v>
      </c>
      <c r="D8" s="2"/>
      <c r="E8" s="10"/>
    </row>
    <row r="9" spans="2:10" x14ac:dyDescent="0.3">
      <c r="B9" s="40" t="s">
        <v>285</v>
      </c>
      <c r="C9" s="71">
        <v>5</v>
      </c>
      <c r="D9" s="2"/>
      <c r="E9" s="10"/>
    </row>
    <row r="10" spans="2:10" x14ac:dyDescent="0.3">
      <c r="B10" s="40" t="s">
        <v>286</v>
      </c>
      <c r="C10" s="71">
        <v>6</v>
      </c>
      <c r="D10" s="2"/>
      <c r="E10" s="10"/>
    </row>
    <row r="11" spans="2:10" x14ac:dyDescent="0.3">
      <c r="B11" s="40" t="s">
        <v>287</v>
      </c>
      <c r="C11" s="71">
        <v>7</v>
      </c>
      <c r="D11" s="2"/>
      <c r="E11" s="10"/>
    </row>
    <row r="12" spans="2:10" x14ac:dyDescent="0.3">
      <c r="B12" s="40" t="s">
        <v>288</v>
      </c>
      <c r="C12" s="71">
        <v>8</v>
      </c>
      <c r="D12" s="2"/>
      <c r="E12" s="10"/>
    </row>
    <row r="13" spans="2:10" x14ac:dyDescent="0.3">
      <c r="B13" s="40" t="s">
        <v>289</v>
      </c>
      <c r="C13" s="71">
        <v>9</v>
      </c>
      <c r="D13" s="2"/>
      <c r="E13" s="10"/>
    </row>
    <row r="14" spans="2:10" x14ac:dyDescent="0.3">
      <c r="B14" s="40" t="s">
        <v>290</v>
      </c>
      <c r="C14" s="71">
        <v>10</v>
      </c>
      <c r="D14" s="2"/>
    </row>
    <row r="15" spans="2:10" x14ac:dyDescent="0.3">
      <c r="B15" s="40" t="s">
        <v>291</v>
      </c>
      <c r="C15" s="71">
        <v>11</v>
      </c>
      <c r="D15" s="2"/>
      <c r="F15" s="72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5"/>
  <sheetViews>
    <sheetView workbookViewId="0">
      <selection activeCell="G7" sqref="G7"/>
    </sheetView>
  </sheetViews>
  <sheetFormatPr defaultRowHeight="14.4" x14ac:dyDescent="0.3"/>
  <cols>
    <col min="2" max="2" width="27.88671875" customWidth="1"/>
    <col min="3" max="3" width="13.33203125" customWidth="1"/>
    <col min="4" max="4" width="16.88671875" customWidth="1"/>
    <col min="5" max="5" width="15.6640625" customWidth="1"/>
    <col min="7" max="7" width="16.21875" customWidth="1"/>
    <col min="8" max="8" width="18" customWidth="1"/>
  </cols>
  <sheetData>
    <row r="1" spans="1:10" x14ac:dyDescent="0.3">
      <c r="J1" s="5"/>
    </row>
    <row r="2" spans="1:10" ht="21" x14ac:dyDescent="0.4">
      <c r="B2" s="1" t="s">
        <v>298</v>
      </c>
    </row>
    <row r="3" spans="1:10" x14ac:dyDescent="0.3">
      <c r="B3" s="64">
        <v>1</v>
      </c>
      <c r="C3" s="64">
        <v>2</v>
      </c>
      <c r="D3" s="64">
        <v>3</v>
      </c>
      <c r="E3" s="64">
        <v>4</v>
      </c>
    </row>
    <row r="4" spans="1:10" ht="15.6" x14ac:dyDescent="0.3">
      <c r="B4" s="86" t="s">
        <v>299</v>
      </c>
      <c r="C4" s="86" t="s">
        <v>300</v>
      </c>
      <c r="D4" s="86" t="s">
        <v>115</v>
      </c>
      <c r="E4" s="86" t="s">
        <v>301</v>
      </c>
    </row>
    <row r="5" spans="1:10" ht="15.6" x14ac:dyDescent="0.3">
      <c r="A5" s="61">
        <v>1</v>
      </c>
      <c r="B5" s="73" t="s">
        <v>302</v>
      </c>
      <c r="C5" s="74">
        <v>829.8</v>
      </c>
      <c r="D5" s="66" t="s">
        <v>303</v>
      </c>
      <c r="E5" s="54">
        <f>RANK(C5,$C$5:$C$15)</f>
        <v>1</v>
      </c>
      <c r="F5" s="2"/>
    </row>
    <row r="6" spans="1:10" ht="15.6" x14ac:dyDescent="0.3">
      <c r="A6" s="61">
        <v>2</v>
      </c>
      <c r="B6" s="66" t="s">
        <v>304</v>
      </c>
      <c r="C6" s="74">
        <v>678.9</v>
      </c>
      <c r="D6" s="66" t="s">
        <v>305</v>
      </c>
      <c r="E6" s="54">
        <f t="shared" ref="E6:E15" si="0">RANK(C6,$C$5:$C$15)</f>
        <v>2</v>
      </c>
      <c r="F6" s="2"/>
      <c r="G6" s="75">
        <f>INDEX(B5:E15,4,2)</f>
        <v>632</v>
      </c>
    </row>
    <row r="7" spans="1:10" ht="15.6" x14ac:dyDescent="0.3">
      <c r="A7" s="61">
        <v>3</v>
      </c>
      <c r="B7" s="3" t="s">
        <v>306</v>
      </c>
      <c r="C7" s="74">
        <v>634</v>
      </c>
      <c r="D7" s="66" t="s">
        <v>307</v>
      </c>
      <c r="E7" s="54">
        <f t="shared" si="0"/>
        <v>3</v>
      </c>
      <c r="F7" s="2"/>
    </row>
    <row r="8" spans="1:10" ht="15.6" x14ac:dyDescent="0.3">
      <c r="A8" s="61">
        <v>4</v>
      </c>
      <c r="B8" s="3" t="s">
        <v>308</v>
      </c>
      <c r="C8" s="74">
        <v>632</v>
      </c>
      <c r="D8" s="66" t="s">
        <v>309</v>
      </c>
      <c r="E8" s="54">
        <f t="shared" si="0"/>
        <v>4</v>
      </c>
      <c r="F8" s="2"/>
      <c r="G8" s="10"/>
    </row>
    <row r="9" spans="1:10" ht="15.6" x14ac:dyDescent="0.3">
      <c r="A9" s="61">
        <v>5</v>
      </c>
      <c r="B9" s="3" t="s">
        <v>310</v>
      </c>
      <c r="C9" s="74">
        <v>627.79999999999995</v>
      </c>
      <c r="D9" s="66" t="s">
        <v>311</v>
      </c>
      <c r="E9" s="54">
        <f t="shared" si="0"/>
        <v>5</v>
      </c>
      <c r="F9" s="2"/>
      <c r="G9" s="10"/>
    </row>
    <row r="10" spans="1:10" ht="15.6" x14ac:dyDescent="0.3">
      <c r="A10" s="61">
        <v>6</v>
      </c>
      <c r="B10" s="3" t="s">
        <v>312</v>
      </c>
      <c r="C10" s="74">
        <v>604</v>
      </c>
      <c r="D10" s="66" t="s">
        <v>313</v>
      </c>
      <c r="E10" s="54">
        <f t="shared" si="0"/>
        <v>6</v>
      </c>
      <c r="F10" s="2"/>
      <c r="G10" s="10"/>
    </row>
    <row r="11" spans="1:10" ht="15.6" x14ac:dyDescent="0.3">
      <c r="A11" s="61">
        <v>7</v>
      </c>
      <c r="B11" s="3" t="s">
        <v>314</v>
      </c>
      <c r="C11" s="74">
        <v>601</v>
      </c>
      <c r="D11" s="66" t="s">
        <v>315</v>
      </c>
      <c r="E11" s="54">
        <f t="shared" si="0"/>
        <v>7</v>
      </c>
      <c r="F11" s="2"/>
      <c r="G11" s="10"/>
    </row>
    <row r="12" spans="1:10" ht="15.6" x14ac:dyDescent="0.3">
      <c r="A12" s="61">
        <v>8</v>
      </c>
      <c r="B12" s="3" t="s">
        <v>316</v>
      </c>
      <c r="C12" s="74">
        <v>596.6</v>
      </c>
      <c r="D12" s="66" t="s">
        <v>317</v>
      </c>
      <c r="E12" s="54">
        <f t="shared" si="0"/>
        <v>8</v>
      </c>
      <c r="F12" s="2"/>
    </row>
    <row r="13" spans="1:10" ht="15.6" x14ac:dyDescent="0.3">
      <c r="A13" s="61">
        <v>9</v>
      </c>
      <c r="B13" s="3" t="s">
        <v>318</v>
      </c>
      <c r="C13" s="74">
        <v>555.70000000000005</v>
      </c>
      <c r="D13" s="66" t="s">
        <v>319</v>
      </c>
      <c r="E13" s="54">
        <f t="shared" si="0"/>
        <v>9</v>
      </c>
      <c r="F13" s="2"/>
    </row>
    <row r="14" spans="1:10" ht="15.6" x14ac:dyDescent="0.3">
      <c r="A14" s="61">
        <v>10</v>
      </c>
      <c r="B14" s="3" t="s">
        <v>320</v>
      </c>
      <c r="C14" s="74">
        <v>553.29999999999995</v>
      </c>
      <c r="D14" s="66" t="s">
        <v>321</v>
      </c>
      <c r="E14" s="54">
        <f t="shared" si="0"/>
        <v>10</v>
      </c>
    </row>
    <row r="15" spans="1:10" ht="15.6" x14ac:dyDescent="0.3">
      <c r="A15" s="61">
        <v>11</v>
      </c>
      <c r="B15" s="3" t="s">
        <v>322</v>
      </c>
      <c r="C15" s="74">
        <v>540</v>
      </c>
      <c r="D15" s="66" t="s">
        <v>118</v>
      </c>
      <c r="E15" s="54">
        <f t="shared" si="0"/>
        <v>11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5"/>
  <sheetViews>
    <sheetView tabSelected="1" workbookViewId="0">
      <selection activeCell="E7" sqref="E7"/>
    </sheetView>
  </sheetViews>
  <sheetFormatPr defaultRowHeight="14.4" x14ac:dyDescent="0.3"/>
  <cols>
    <col min="2" max="2" width="27.88671875" customWidth="1"/>
    <col min="3" max="3" width="13.33203125" customWidth="1"/>
    <col min="4" max="4" width="16.88671875" customWidth="1"/>
    <col min="5" max="5" width="15.6640625" customWidth="1"/>
    <col min="7" max="7" width="16.21875" customWidth="1"/>
    <col min="8" max="8" width="18" customWidth="1"/>
  </cols>
  <sheetData>
    <row r="1" spans="1:10" x14ac:dyDescent="0.3">
      <c r="J1" s="5"/>
    </row>
    <row r="2" spans="1:10" ht="21" x14ac:dyDescent="0.4">
      <c r="B2" s="1" t="s">
        <v>323</v>
      </c>
    </row>
    <row r="4" spans="1:10" ht="15.6" x14ac:dyDescent="0.3">
      <c r="B4" s="86" t="s">
        <v>299</v>
      </c>
      <c r="C4" s="86" t="s">
        <v>300</v>
      </c>
      <c r="D4" s="86" t="s">
        <v>115</v>
      </c>
      <c r="E4" s="86" t="s">
        <v>301</v>
      </c>
    </row>
    <row r="5" spans="1:10" ht="15.6" x14ac:dyDescent="0.3">
      <c r="A5" s="61"/>
      <c r="B5" s="3" t="s">
        <v>316</v>
      </c>
      <c r="C5" s="74">
        <v>596.6</v>
      </c>
      <c r="D5" s="66" t="s">
        <v>317</v>
      </c>
      <c r="E5" s="68">
        <f>RANK(C5,$C$5:$C$15,0)</f>
        <v>8</v>
      </c>
      <c r="F5" s="2"/>
    </row>
    <row r="6" spans="1:10" ht="15.6" x14ac:dyDescent="0.3">
      <c r="A6" s="61"/>
      <c r="B6" s="66" t="s">
        <v>304</v>
      </c>
      <c r="C6" s="74">
        <v>678.9</v>
      </c>
      <c r="D6" s="66" t="s">
        <v>305</v>
      </c>
      <c r="E6" s="68">
        <f t="shared" ref="E6:E15" si="0">RANK(C6,$C$5:$C$15,0)</f>
        <v>2</v>
      </c>
      <c r="F6" s="2"/>
    </row>
    <row r="7" spans="1:10" ht="15.6" x14ac:dyDescent="0.3">
      <c r="A7" s="61"/>
      <c r="B7" s="3" t="s">
        <v>306</v>
      </c>
      <c r="C7" s="74">
        <v>634</v>
      </c>
      <c r="D7" s="66" t="s">
        <v>307</v>
      </c>
      <c r="E7" s="68">
        <f t="shared" si="0"/>
        <v>3</v>
      </c>
      <c r="F7" s="2"/>
    </row>
    <row r="8" spans="1:10" ht="15.6" x14ac:dyDescent="0.3">
      <c r="A8" s="61"/>
      <c r="B8" s="3" t="s">
        <v>318</v>
      </c>
      <c r="C8" s="74">
        <v>555.70000000000005</v>
      </c>
      <c r="D8" s="66" t="s">
        <v>319</v>
      </c>
      <c r="E8" s="68">
        <f t="shared" si="0"/>
        <v>9</v>
      </c>
      <c r="F8" s="2"/>
    </row>
    <row r="9" spans="1:10" ht="15.6" x14ac:dyDescent="0.3">
      <c r="A9" s="61"/>
      <c r="B9" s="73" t="s">
        <v>302</v>
      </c>
      <c r="C9" s="74">
        <v>829.8</v>
      </c>
      <c r="D9" s="66" t="s">
        <v>303</v>
      </c>
      <c r="E9" s="68">
        <f t="shared" si="0"/>
        <v>1</v>
      </c>
      <c r="F9" s="2"/>
      <c r="G9" s="10"/>
    </row>
    <row r="10" spans="1:10" ht="15.6" x14ac:dyDescent="0.3">
      <c r="A10" s="61"/>
      <c r="B10" s="3" t="s">
        <v>314</v>
      </c>
      <c r="C10" s="74">
        <v>601</v>
      </c>
      <c r="D10" s="66" t="s">
        <v>315</v>
      </c>
      <c r="E10" s="68">
        <f t="shared" si="0"/>
        <v>7</v>
      </c>
      <c r="F10" s="2"/>
      <c r="G10" s="10"/>
    </row>
    <row r="11" spans="1:10" ht="15.6" x14ac:dyDescent="0.3">
      <c r="A11" s="61"/>
      <c r="B11" s="3" t="s">
        <v>322</v>
      </c>
      <c r="C11" s="74">
        <v>540</v>
      </c>
      <c r="D11" s="66" t="s">
        <v>118</v>
      </c>
      <c r="E11" s="68">
        <f t="shared" si="0"/>
        <v>11</v>
      </c>
      <c r="F11" s="2"/>
      <c r="G11" s="10"/>
    </row>
    <row r="12" spans="1:10" ht="15.6" x14ac:dyDescent="0.3">
      <c r="A12" s="61"/>
      <c r="B12" s="3" t="s">
        <v>320</v>
      </c>
      <c r="C12" s="74">
        <v>553.29999999999995</v>
      </c>
      <c r="D12" s="66" t="s">
        <v>321</v>
      </c>
      <c r="E12" s="68">
        <f t="shared" si="0"/>
        <v>10</v>
      </c>
      <c r="F12" s="2"/>
    </row>
    <row r="13" spans="1:10" ht="15.6" x14ac:dyDescent="0.3">
      <c r="A13" s="61"/>
      <c r="B13" s="3" t="s">
        <v>312</v>
      </c>
      <c r="C13" s="74">
        <v>604</v>
      </c>
      <c r="D13" s="66" t="s">
        <v>313</v>
      </c>
      <c r="E13" s="68">
        <f t="shared" si="0"/>
        <v>6</v>
      </c>
      <c r="F13" s="2"/>
    </row>
    <row r="14" spans="1:10" ht="15.6" x14ac:dyDescent="0.3">
      <c r="A14" s="61"/>
      <c r="B14" s="3" t="s">
        <v>310</v>
      </c>
      <c r="C14" s="74">
        <v>627.79999999999995</v>
      </c>
      <c r="D14" s="66" t="s">
        <v>311</v>
      </c>
      <c r="E14" s="68">
        <f t="shared" si="0"/>
        <v>5</v>
      </c>
    </row>
    <row r="15" spans="1:10" ht="15.6" x14ac:dyDescent="0.3">
      <c r="A15" s="61"/>
      <c r="B15" s="3" t="s">
        <v>308</v>
      </c>
      <c r="C15" s="74">
        <v>632</v>
      </c>
      <c r="D15" s="66" t="s">
        <v>309</v>
      </c>
      <c r="E15" s="68">
        <f t="shared" si="0"/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30</vt:i4>
      </vt:variant>
    </vt:vector>
  </HeadingPairs>
  <TitlesOfParts>
    <vt:vector size="30" baseType="lpstr">
      <vt:lpstr>ДАТА</vt:lpstr>
      <vt:lpstr>ДЕНЬ МЕСЯЦ ГОД</vt:lpstr>
      <vt:lpstr>СЕГОДНЯ</vt:lpstr>
      <vt:lpstr>ДАТАМЕС</vt:lpstr>
      <vt:lpstr>ОКРУГЛы</vt:lpstr>
      <vt:lpstr>СУММ</vt:lpstr>
      <vt:lpstr>СРЗНАЧ</vt:lpstr>
      <vt:lpstr>ЕСЛИ</vt:lpstr>
      <vt:lpstr>И ИЛИ</vt:lpstr>
      <vt:lpstr>СЧЁТЕСЛИ</vt:lpstr>
      <vt:lpstr>СУММЕСЛИ</vt:lpstr>
      <vt:lpstr>СРЗНАЧЕСЛИ</vt:lpstr>
      <vt:lpstr>МИН МАКС</vt:lpstr>
      <vt:lpstr>СЖПРОБЕЛЫ</vt:lpstr>
      <vt:lpstr>ПОИСК НАЙТИ</vt:lpstr>
      <vt:lpstr>ПОДСТАВИТЬ</vt:lpstr>
      <vt:lpstr>ЗАМЕНИТЬ</vt:lpstr>
      <vt:lpstr>ЛЕВСИМВ ПРАВСИМВ</vt:lpstr>
      <vt:lpstr>ДЛСТР</vt:lpstr>
      <vt:lpstr>СЦЕПИТЬ</vt:lpstr>
      <vt:lpstr>СТРОЧН ПРОПНАЧ ПРОПИСН</vt:lpstr>
      <vt:lpstr>СЧЁТ СЧЁТЗ</vt:lpstr>
      <vt:lpstr>СЧИТАТЬПУСТОТЫ</vt:lpstr>
      <vt:lpstr>ЕПУСТО ЕТЕКСТ ЕЧИСЛО</vt:lpstr>
      <vt:lpstr>НАИБОЛЬШИЙ НАИМЕНЬШИЙ</vt:lpstr>
      <vt:lpstr>ВПР</vt:lpstr>
      <vt:lpstr>ЕСЛИОШИБКА</vt:lpstr>
      <vt:lpstr>ПОИСКПОЗ</vt:lpstr>
      <vt:lpstr>ИНДЕКС</vt:lpstr>
      <vt:lpstr>РАНГ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2026-09-20T18:05:40Z</dcterms:modified>
</cp:coreProperties>
</file>